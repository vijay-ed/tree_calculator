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60" windowWidth="19815" windowHeight="7650"/>
  </bookViews>
  <sheets>
    <sheet name="trees_per_ha" sheetId="1" r:id="rId1"/>
  </sheets>
  <definedNames>
    <definedName name="_xlnm._FilterDatabase" localSheetId="0" hidden="1">trees_per_ha!$A$1:$J$181</definedName>
  </definedNames>
  <calcPr calcId="124519"/>
</workbook>
</file>

<file path=xl/calcChain.xml><?xml version="1.0" encoding="utf-8"?>
<calcChain xmlns="http://schemas.openxmlformats.org/spreadsheetml/2006/main">
  <c r="N21" i="1"/>
  <c r="O21" s="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E2"/>
  <c r="F2" s="1"/>
  <c r="B2"/>
  <c r="G5" s="1"/>
  <c r="H5" s="1"/>
  <c r="I5" l="1"/>
  <c r="H2"/>
  <c r="I2" s="1"/>
  <c r="L2"/>
</calcChain>
</file>

<file path=xl/sharedStrings.xml><?xml version="1.0" encoding="utf-8"?>
<sst xmlns="http://schemas.openxmlformats.org/spreadsheetml/2006/main" count="216" uniqueCount="55">
  <si>
    <t>tot pts</t>
  </si>
  <si>
    <t>tot qtrs</t>
  </si>
  <si>
    <t>species</t>
  </si>
  <si>
    <t>R</t>
  </si>
  <si>
    <t>avg R</t>
  </si>
  <si>
    <t>1/(R*R)</t>
  </si>
  <si>
    <t>vac qtr</t>
  </si>
  <si>
    <t>corr fact</t>
  </si>
  <si>
    <t>tree/ha</t>
  </si>
  <si>
    <t>non-vac qtr</t>
  </si>
  <si>
    <t>sp</t>
  </si>
  <si>
    <t>no of qtr</t>
  </si>
  <si>
    <t>Mthd 2</t>
  </si>
  <si>
    <t xml:space="preserve">रेनी </t>
  </si>
  <si>
    <t>Method 2</t>
  </si>
  <si>
    <t>kavi</t>
  </si>
  <si>
    <t>खैर  Count</t>
  </si>
  <si>
    <t xml:space="preserve">मोह </t>
  </si>
  <si>
    <t>vac qtr/tot qtr</t>
  </si>
  <si>
    <t>चारोडी  Count</t>
  </si>
  <si>
    <t>Method 1</t>
  </si>
  <si>
    <t>जांभूळ  Count</t>
  </si>
  <si>
    <t xml:space="preserve">तेंदू </t>
  </si>
  <si>
    <t>तेंदू  Count</t>
  </si>
  <si>
    <t>बाहवा  Count</t>
  </si>
  <si>
    <t xml:space="preserve">साग </t>
  </si>
  <si>
    <t>बिजा  Count</t>
  </si>
  <si>
    <t>बिबा  Count</t>
  </si>
  <si>
    <t>बिवला  Count</t>
  </si>
  <si>
    <t>बेहाडा  Count</t>
  </si>
  <si>
    <t>भेरा  Count</t>
  </si>
  <si>
    <t>माकडी चार  Count</t>
  </si>
  <si>
    <t>मोह  Count</t>
  </si>
  <si>
    <t>येन  Count</t>
  </si>
  <si>
    <t>येरोनी  Count</t>
  </si>
  <si>
    <t>रकत रोहिणी  Count</t>
  </si>
  <si>
    <t>रेनी  Count</t>
  </si>
  <si>
    <t>साग  Count</t>
  </si>
  <si>
    <t>सूर्या  Count</t>
  </si>
  <si>
    <t xml:space="preserve">येरोनी </t>
  </si>
  <si>
    <t xml:space="preserve">येन </t>
  </si>
  <si>
    <t xml:space="preserve">२२ .२० </t>
  </si>
  <si>
    <t xml:space="preserve">बिजा </t>
  </si>
  <si>
    <t xml:space="preserve">जांभूळ </t>
  </si>
  <si>
    <t xml:space="preserve">भेरा </t>
  </si>
  <si>
    <t xml:space="preserve">बिवला </t>
  </si>
  <si>
    <t xml:space="preserve">कवी </t>
  </si>
  <si>
    <t xml:space="preserve">सूर्या </t>
  </si>
  <si>
    <t xml:space="preserve">बेहाडा </t>
  </si>
  <si>
    <t xml:space="preserve">खैर </t>
  </si>
  <si>
    <t xml:space="preserve">रकत रोहिणी </t>
  </si>
  <si>
    <t xml:space="preserve">चारोडी </t>
  </si>
  <si>
    <t xml:space="preserve">माकडी चार </t>
  </si>
  <si>
    <t xml:space="preserve">बाहवा </t>
  </si>
  <si>
    <t xml:space="preserve">बिबा 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</si>
</sst>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 Unicode MS"/>
      <family val="2"/>
    </font>
    <font>
      <sz val="11"/>
      <color rgb="FF000000"/>
      <name val="Arial Unicode MS"/>
      <family val="2"/>
    </font>
    <font>
      <sz val="11"/>
      <color indexed="8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1" xfId="0" applyFill="1" applyBorder="1" applyProtection="1">
      <protection locked="0"/>
    </xf>
    <xf numFmtId="0" fontId="0" fillId="2" borderId="0" xfId="0" applyFill="1" applyBorder="1"/>
    <xf numFmtId="0" fontId="1" fillId="0" borderId="2" xfId="0" applyFont="1" applyFill="1" applyBorder="1" applyAlignment="1" applyProtection="1">
      <alignment horizontal="center"/>
      <protection locked="0"/>
    </xf>
    <xf numFmtId="2" fontId="1" fillId="0" borderId="3" xfId="0" applyNumberFormat="1" applyFont="1" applyFill="1" applyBorder="1" applyAlignment="1" applyProtection="1">
      <alignment horizontal="center"/>
      <protection locked="0"/>
    </xf>
    <xf numFmtId="2" fontId="0" fillId="2" borderId="0" xfId="0" applyNumberFormat="1" applyFill="1"/>
    <xf numFmtId="0" fontId="1" fillId="0" borderId="3" xfId="0" applyFont="1" applyFill="1" applyBorder="1" applyAlignment="1" applyProtection="1">
      <alignment horizontal="center"/>
      <protection locked="0"/>
    </xf>
    <xf numFmtId="0" fontId="0" fillId="0" borderId="4" xfId="0" applyFill="1" applyBorder="1" applyProtection="1">
      <protection locked="0"/>
    </xf>
    <xf numFmtId="2" fontId="0" fillId="0" borderId="5" xfId="0" applyNumberFormat="1" applyFill="1" applyBorder="1" applyProtection="1">
      <protection locked="0"/>
    </xf>
    <xf numFmtId="0" fontId="0" fillId="0" borderId="3" xfId="0" applyFill="1" applyBorder="1" applyProtection="1">
      <protection locked="0"/>
    </xf>
    <xf numFmtId="2" fontId="0" fillId="0" borderId="6" xfId="0" applyNumberFormat="1" applyFill="1" applyBorder="1" applyProtection="1">
      <protection locked="0"/>
    </xf>
    <xf numFmtId="0" fontId="0" fillId="0" borderId="3" xfId="0" applyFill="1" applyBorder="1" applyAlignment="1" applyProtection="1">
      <protection locked="0"/>
    </xf>
    <xf numFmtId="0" fontId="3" fillId="0" borderId="7" xfId="0" applyFont="1" applyBorder="1" applyAlignment="1" applyProtection="1">
      <alignment vertical="top"/>
      <protection locked="0"/>
    </xf>
    <xf numFmtId="0" fontId="3" fillId="0" borderId="3" xfId="0" applyFont="1" applyBorder="1" applyProtection="1">
      <protection locked="0"/>
    </xf>
    <xf numFmtId="0" fontId="3" fillId="0" borderId="3" xfId="0" applyFont="1" applyFill="1" applyBorder="1" applyProtection="1">
      <protection locked="0"/>
    </xf>
    <xf numFmtId="0" fontId="0" fillId="0" borderId="7" xfId="0" applyBorder="1" applyAlignment="1" applyProtection="1">
      <protection locked="0"/>
    </xf>
    <xf numFmtId="0" fontId="4" fillId="0" borderId="7" xfId="0" applyFont="1" applyBorder="1" applyAlignment="1" applyProtection="1">
      <alignment vertical="top"/>
      <protection locked="0"/>
    </xf>
    <xf numFmtId="0" fontId="3" fillId="2" borderId="7" xfId="0" applyFont="1" applyFill="1" applyBorder="1" applyAlignment="1" applyProtection="1">
      <alignment vertical="top"/>
      <protection locked="0"/>
    </xf>
    <xf numFmtId="0" fontId="3" fillId="2" borderId="3" xfId="0" applyFont="1" applyFill="1" applyBorder="1" applyProtection="1">
      <protection locked="0"/>
    </xf>
    <xf numFmtId="0" fontId="5" fillId="0" borderId="7" xfId="0" applyFont="1" applyBorder="1" applyAlignment="1" applyProtection="1">
      <alignment vertical="top"/>
      <protection locked="0"/>
    </xf>
    <xf numFmtId="0" fontId="2" fillId="0" borderId="7" xfId="0" applyFont="1" applyBorder="1" applyProtection="1">
      <protection locked="0"/>
    </xf>
    <xf numFmtId="0" fontId="3" fillId="0" borderId="0" xfId="0" applyFont="1" applyProtection="1">
      <protection locked="0"/>
    </xf>
    <xf numFmtId="0" fontId="3" fillId="0" borderId="6" xfId="0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3" borderId="6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414"/>
  <sheetViews>
    <sheetView tabSelected="1" workbookViewId="0">
      <selection activeCell="M2" sqref="M2"/>
    </sheetView>
  </sheetViews>
  <sheetFormatPr defaultRowHeight="15"/>
  <cols>
    <col min="3" max="4" width="9.140625" style="5"/>
    <col min="7" max="7" width="13.42578125" bestFit="1" customWidth="1"/>
    <col min="12" max="12" width="11" bestFit="1" customWidth="1"/>
    <col min="13" max="14" width="9.140625" style="5"/>
    <col min="15" max="15" width="9.140625" style="6"/>
  </cols>
  <sheetData>
    <row r="1" spans="1:15" ht="15.75" thickBot="1">
      <c r="A1" s="1" t="s">
        <v>0</v>
      </c>
      <c r="B1" s="1" t="s">
        <v>1</v>
      </c>
      <c r="C1" s="2" t="s">
        <v>2</v>
      </c>
      <c r="D1" s="3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L1" t="s">
        <v>9</v>
      </c>
      <c r="M1" s="4" t="s">
        <v>10</v>
      </c>
      <c r="N1" s="5" t="s">
        <v>11</v>
      </c>
      <c r="O1" s="6" t="s">
        <v>12</v>
      </c>
    </row>
    <row r="2" spans="1:15" ht="15.75" thickBot="1">
      <c r="A2" s="7">
        <v>46</v>
      </c>
      <c r="B2" s="8">
        <f>4*A2</f>
        <v>184</v>
      </c>
      <c r="C2" s="9" t="s">
        <v>13</v>
      </c>
      <c r="D2" s="10">
        <v>8.3000000000000007</v>
      </c>
      <c r="E2" s="11">
        <f>AVERAGE(D2:D1000)</f>
        <v>6.8644134078212318</v>
      </c>
      <c r="F2" s="6">
        <f>1/(E2*E2)</f>
        <v>2.1222333654108128E-2</v>
      </c>
      <c r="G2" s="7">
        <v>4</v>
      </c>
      <c r="H2" s="6">
        <f>(1-G2/B2)</f>
        <v>0.97826086956521741</v>
      </c>
      <c r="I2" s="6">
        <f>10000*F2*H2</f>
        <v>207.60978574670997</v>
      </c>
      <c r="J2" s="6" t="s">
        <v>14</v>
      </c>
      <c r="L2" s="6">
        <f>B2-G2</f>
        <v>180</v>
      </c>
      <c r="M2" s="4" t="s">
        <v>15</v>
      </c>
      <c r="N2" s="5">
        <v>1</v>
      </c>
      <c r="O2" s="6">
        <f>(N2/180*207.6097857
)</f>
        <v>1.1533876983333333</v>
      </c>
    </row>
    <row r="3" spans="1:15">
      <c r="A3" s="1"/>
      <c r="B3" s="1"/>
      <c r="C3" s="12" t="s">
        <v>13</v>
      </c>
      <c r="D3" s="10">
        <v>14.4</v>
      </c>
      <c r="E3" s="1"/>
      <c r="F3" s="1"/>
      <c r="G3" s="1"/>
      <c r="H3" s="1"/>
      <c r="I3" s="1"/>
      <c r="J3" s="1"/>
      <c r="M3" s="4" t="s">
        <v>16</v>
      </c>
      <c r="N3" s="5">
        <v>4</v>
      </c>
      <c r="O3" s="6">
        <f t="shared" ref="O3:O21" si="0">(N3/180*207.6097857
)</f>
        <v>4.6135507933333333</v>
      </c>
    </row>
    <row r="4" spans="1:15">
      <c r="A4" s="1"/>
      <c r="B4" s="1"/>
      <c r="C4" s="12" t="s">
        <v>17</v>
      </c>
      <c r="D4" s="10">
        <v>5</v>
      </c>
      <c r="E4" s="1"/>
      <c r="F4" s="1"/>
      <c r="G4" s="1" t="s">
        <v>18</v>
      </c>
      <c r="H4" s="1"/>
      <c r="I4" s="1"/>
      <c r="J4" s="1"/>
      <c r="M4" s="4" t="s">
        <v>19</v>
      </c>
      <c r="N4" s="5">
        <v>10</v>
      </c>
      <c r="O4" s="6">
        <f t="shared" si="0"/>
        <v>11.533876983333332</v>
      </c>
    </row>
    <row r="5" spans="1:15">
      <c r="A5" s="1"/>
      <c r="B5" s="1"/>
      <c r="C5" s="12" t="s">
        <v>13</v>
      </c>
      <c r="D5" s="10">
        <v>12.6</v>
      </c>
      <c r="E5" s="1"/>
      <c r="F5" s="1"/>
      <c r="G5" s="6">
        <f>G2/(B2)</f>
        <v>2.1739130434782608E-2</v>
      </c>
      <c r="H5" s="6">
        <f>3.89*G5*G5-2.526*G5+1</f>
        <v>0.94692533081285446</v>
      </c>
      <c r="I5" s="6">
        <f>10000*F2*H5</f>
        <v>200.95965316037115</v>
      </c>
      <c r="J5" s="6" t="s">
        <v>20</v>
      </c>
      <c r="M5" s="4" t="s">
        <v>21</v>
      </c>
      <c r="N5" s="5">
        <v>1</v>
      </c>
      <c r="O5" s="6">
        <f t="shared" si="0"/>
        <v>1.1533876983333333</v>
      </c>
    </row>
    <row r="6" spans="1:15">
      <c r="A6" s="1"/>
      <c r="B6" s="1"/>
      <c r="C6" s="12" t="s">
        <v>22</v>
      </c>
      <c r="D6" s="10">
        <v>5.9</v>
      </c>
      <c r="E6" s="1"/>
      <c r="F6" s="1"/>
      <c r="G6" s="1"/>
      <c r="H6" s="1"/>
      <c r="I6" s="1"/>
      <c r="J6" s="1"/>
      <c r="M6" s="4" t="s">
        <v>23</v>
      </c>
      <c r="N6" s="5">
        <v>45</v>
      </c>
      <c r="O6" s="6">
        <f t="shared" si="0"/>
        <v>51.902446425000001</v>
      </c>
    </row>
    <row r="7" spans="1:15">
      <c r="A7" s="1"/>
      <c r="B7" s="1"/>
      <c r="C7" s="12" t="s">
        <v>22</v>
      </c>
      <c r="D7" s="10">
        <v>28.5</v>
      </c>
      <c r="E7" s="1"/>
      <c r="F7" s="1"/>
      <c r="G7" s="1"/>
      <c r="H7" s="1"/>
      <c r="I7" s="1"/>
      <c r="J7" s="1"/>
      <c r="M7" s="4" t="s">
        <v>24</v>
      </c>
      <c r="N7" s="5">
        <v>4</v>
      </c>
      <c r="O7" s="6">
        <f t="shared" si="0"/>
        <v>4.6135507933333333</v>
      </c>
    </row>
    <row r="8" spans="1:15">
      <c r="A8" s="1"/>
      <c r="B8" s="1"/>
      <c r="C8" s="12" t="s">
        <v>25</v>
      </c>
      <c r="D8" s="10">
        <v>5.8</v>
      </c>
      <c r="E8" s="1"/>
      <c r="F8" s="1"/>
      <c r="G8" s="1"/>
      <c r="H8" s="1"/>
      <c r="I8" s="1"/>
      <c r="J8" s="1"/>
      <c r="M8" s="4" t="s">
        <v>26</v>
      </c>
      <c r="N8" s="5">
        <v>5</v>
      </c>
      <c r="O8" s="6">
        <f t="shared" si="0"/>
        <v>5.7669384916666662</v>
      </c>
    </row>
    <row r="9" spans="1:15">
      <c r="A9" s="1"/>
      <c r="B9" s="1"/>
      <c r="C9" s="12" t="s">
        <v>13</v>
      </c>
      <c r="D9" s="10">
        <v>10.199999999999999</v>
      </c>
      <c r="E9" s="1"/>
      <c r="F9" s="1"/>
      <c r="G9" s="1"/>
      <c r="H9" s="1"/>
      <c r="I9" s="1"/>
      <c r="J9" s="1"/>
      <c r="M9" s="4" t="s">
        <v>27</v>
      </c>
      <c r="N9" s="5">
        <v>1</v>
      </c>
      <c r="O9" s="6">
        <f t="shared" si="0"/>
        <v>1.1533876983333333</v>
      </c>
    </row>
    <row r="10" spans="1:15">
      <c r="A10" s="1"/>
      <c r="B10" s="1"/>
      <c r="C10" s="12" t="s">
        <v>25</v>
      </c>
      <c r="D10" s="10">
        <v>7.8</v>
      </c>
      <c r="E10" s="1"/>
      <c r="F10" s="1"/>
      <c r="G10" s="1"/>
      <c r="H10" s="1"/>
      <c r="I10" s="1"/>
      <c r="J10" s="1"/>
      <c r="M10" s="4" t="s">
        <v>28</v>
      </c>
      <c r="N10" s="5">
        <v>1</v>
      </c>
      <c r="O10" s="6">
        <f t="shared" si="0"/>
        <v>1.1533876983333333</v>
      </c>
    </row>
    <row r="11" spans="1:15">
      <c r="A11" s="1"/>
      <c r="B11" s="1"/>
      <c r="C11" s="12" t="s">
        <v>25</v>
      </c>
      <c r="D11" s="10">
        <v>12.2</v>
      </c>
      <c r="E11" s="1"/>
      <c r="F11" s="1"/>
      <c r="G11" s="1"/>
      <c r="H11" s="1"/>
      <c r="I11" s="1"/>
      <c r="J11" s="1"/>
      <c r="M11" s="4" t="s">
        <v>29</v>
      </c>
      <c r="N11" s="5">
        <v>2</v>
      </c>
      <c r="O11" s="6">
        <f t="shared" si="0"/>
        <v>2.3067753966666666</v>
      </c>
    </row>
    <row r="12" spans="1:15">
      <c r="A12" s="1"/>
      <c r="B12" s="1"/>
      <c r="C12" s="12" t="s">
        <v>25</v>
      </c>
      <c r="D12" s="10">
        <v>8.5</v>
      </c>
      <c r="E12" s="1"/>
      <c r="F12" s="1"/>
      <c r="G12" s="1"/>
      <c r="H12" s="1"/>
      <c r="I12" s="1"/>
      <c r="J12" s="1"/>
      <c r="M12" s="4" t="s">
        <v>30</v>
      </c>
      <c r="N12" s="5">
        <v>5</v>
      </c>
      <c r="O12" s="6">
        <f t="shared" si="0"/>
        <v>5.7669384916666662</v>
      </c>
    </row>
    <row r="13" spans="1:15">
      <c r="A13" s="1"/>
      <c r="B13" s="1"/>
      <c r="C13" s="12" t="s">
        <v>25</v>
      </c>
      <c r="D13" s="10">
        <v>3.1</v>
      </c>
      <c r="E13" s="1"/>
      <c r="F13" s="1"/>
      <c r="G13" s="1"/>
      <c r="H13" s="1"/>
      <c r="I13" s="1"/>
      <c r="J13" s="1"/>
      <c r="M13" s="4" t="s">
        <v>31</v>
      </c>
      <c r="N13" s="5">
        <v>4</v>
      </c>
      <c r="O13" s="6">
        <f t="shared" si="0"/>
        <v>4.6135507933333333</v>
      </c>
    </row>
    <row r="14" spans="1:15">
      <c r="A14" s="1"/>
      <c r="B14" s="1"/>
      <c r="C14" s="12" t="s">
        <v>25</v>
      </c>
      <c r="D14" s="10">
        <v>2.9</v>
      </c>
      <c r="E14" s="1"/>
      <c r="F14" s="1"/>
      <c r="G14" s="1"/>
      <c r="H14" s="1"/>
      <c r="I14" s="1"/>
      <c r="J14" s="1"/>
      <c r="M14" s="4" t="s">
        <v>32</v>
      </c>
      <c r="N14" s="5">
        <v>14</v>
      </c>
      <c r="O14" s="6">
        <f t="shared" si="0"/>
        <v>16.147427776666667</v>
      </c>
    </row>
    <row r="15" spans="1:15">
      <c r="A15" s="1"/>
      <c r="B15" s="1"/>
      <c r="C15" s="12" t="s">
        <v>25</v>
      </c>
      <c r="D15" s="10">
        <v>4.4000000000000004</v>
      </c>
      <c r="E15" s="1"/>
      <c r="F15" s="1"/>
      <c r="G15" s="1"/>
      <c r="H15" s="1"/>
      <c r="I15" s="1"/>
      <c r="J15" s="1"/>
      <c r="M15" s="4" t="s">
        <v>33</v>
      </c>
      <c r="N15" s="5">
        <v>28</v>
      </c>
      <c r="O15" s="6">
        <f t="shared" si="0"/>
        <v>32.294855553333335</v>
      </c>
    </row>
    <row r="16" spans="1:15">
      <c r="A16" s="1"/>
      <c r="B16" s="1"/>
      <c r="C16" s="12" t="s">
        <v>25</v>
      </c>
      <c r="D16" s="10">
        <v>8.3000000000000007</v>
      </c>
      <c r="E16" s="1"/>
      <c r="F16" s="1"/>
      <c r="G16" s="1"/>
      <c r="H16" s="1"/>
      <c r="I16" s="1"/>
      <c r="J16" s="1"/>
      <c r="M16" s="4" t="s">
        <v>34</v>
      </c>
      <c r="N16" s="5">
        <v>2</v>
      </c>
      <c r="O16" s="6">
        <f t="shared" si="0"/>
        <v>2.3067753966666666</v>
      </c>
    </row>
    <row r="17" spans="1:15">
      <c r="A17" s="1"/>
      <c r="B17" s="1"/>
      <c r="C17" s="12" t="s">
        <v>25</v>
      </c>
      <c r="D17" s="10">
        <v>3.2</v>
      </c>
      <c r="E17" s="1"/>
      <c r="F17" s="1"/>
      <c r="G17" s="1"/>
      <c r="H17" s="1"/>
      <c r="I17" s="1"/>
      <c r="J17" s="1"/>
      <c r="M17" s="4" t="s">
        <v>35</v>
      </c>
      <c r="N17" s="5">
        <v>1</v>
      </c>
      <c r="O17" s="6">
        <f t="shared" si="0"/>
        <v>1.1533876983333333</v>
      </c>
    </row>
    <row r="18" spans="1:15">
      <c r="A18" s="1"/>
      <c r="B18" s="1"/>
      <c r="C18" s="13" t="s">
        <v>22</v>
      </c>
      <c r="D18" s="14">
        <v>2.6</v>
      </c>
      <c r="E18" s="1"/>
      <c r="F18" s="1"/>
      <c r="G18" s="1"/>
      <c r="H18" s="1"/>
      <c r="I18" s="1"/>
      <c r="J18" s="1"/>
      <c r="M18" s="4" t="s">
        <v>36</v>
      </c>
      <c r="N18" s="5">
        <v>10</v>
      </c>
      <c r="O18" s="6">
        <f t="shared" si="0"/>
        <v>11.533876983333332</v>
      </c>
    </row>
    <row r="19" spans="1:15">
      <c r="A19" s="1"/>
      <c r="B19" s="1"/>
      <c r="C19" s="15" t="s">
        <v>25</v>
      </c>
      <c r="D19" s="16">
        <v>6.8</v>
      </c>
      <c r="E19" s="1"/>
      <c r="F19" s="1"/>
      <c r="G19" s="1"/>
      <c r="H19" s="1"/>
      <c r="I19" s="1"/>
      <c r="J19" s="1"/>
      <c r="M19" s="4" t="s">
        <v>37</v>
      </c>
      <c r="N19" s="5">
        <v>25</v>
      </c>
      <c r="O19" s="6">
        <f t="shared" si="0"/>
        <v>28.834692458333336</v>
      </c>
    </row>
    <row r="20" spans="1:15">
      <c r="A20" s="1"/>
      <c r="B20" s="1"/>
      <c r="C20" s="15" t="s">
        <v>25</v>
      </c>
      <c r="D20" s="16">
        <v>9.1999999999999993</v>
      </c>
      <c r="E20" s="1"/>
      <c r="F20" s="1"/>
      <c r="G20" s="1"/>
      <c r="H20" s="1"/>
      <c r="I20" s="1"/>
      <c r="J20" s="1"/>
      <c r="M20" s="4" t="s">
        <v>38</v>
      </c>
      <c r="N20" s="5">
        <v>17</v>
      </c>
      <c r="O20" s="6">
        <f t="shared" si="0"/>
        <v>19.607590871666666</v>
      </c>
    </row>
    <row r="21" spans="1:15">
      <c r="A21" s="1"/>
      <c r="B21" s="1"/>
      <c r="C21" s="15" t="s">
        <v>25</v>
      </c>
      <c r="D21" s="16">
        <v>6.7</v>
      </c>
      <c r="E21" s="1"/>
      <c r="F21" s="1"/>
      <c r="G21" s="1"/>
      <c r="H21" s="1"/>
      <c r="I21" s="1"/>
      <c r="J21" s="1"/>
      <c r="M21" s="4"/>
      <c r="N21" s="5">
        <f>SUM(N2:N20)</f>
        <v>180</v>
      </c>
      <c r="O21" s="6">
        <f t="shared" si="0"/>
        <v>207.6097857</v>
      </c>
    </row>
    <row r="22" spans="1:15">
      <c r="A22" s="1"/>
      <c r="B22" s="1"/>
      <c r="C22" s="15" t="s">
        <v>22</v>
      </c>
      <c r="D22" s="16">
        <v>1.6</v>
      </c>
      <c r="E22" s="1"/>
      <c r="F22" s="1"/>
      <c r="G22" s="1"/>
      <c r="H22" s="1"/>
      <c r="I22" s="1"/>
      <c r="J22" s="1"/>
    </row>
    <row r="23" spans="1:15">
      <c r="A23" s="1"/>
      <c r="B23" s="1"/>
      <c r="C23" s="15" t="s">
        <v>25</v>
      </c>
      <c r="D23" s="16">
        <v>7.4</v>
      </c>
      <c r="E23" s="1"/>
      <c r="F23" s="1"/>
      <c r="G23" s="1"/>
      <c r="H23" s="1"/>
      <c r="I23" s="1"/>
      <c r="J23" s="1"/>
    </row>
    <row r="24" spans="1:15">
      <c r="A24" s="1"/>
      <c r="B24" s="1"/>
      <c r="C24" s="15" t="s">
        <v>25</v>
      </c>
      <c r="D24" s="16">
        <v>3.1</v>
      </c>
      <c r="E24" s="1"/>
      <c r="F24" s="1"/>
      <c r="G24" s="1"/>
      <c r="H24" s="1"/>
      <c r="I24" s="1"/>
      <c r="J24" s="1"/>
    </row>
    <row r="25" spans="1:15">
      <c r="A25" s="1"/>
      <c r="B25" s="1"/>
      <c r="C25" s="15" t="s">
        <v>39</v>
      </c>
      <c r="D25" s="16">
        <v>6.2</v>
      </c>
      <c r="E25" s="1"/>
      <c r="F25" s="1"/>
      <c r="G25" s="1"/>
      <c r="H25" s="1"/>
      <c r="I25" s="1"/>
      <c r="J25" s="1"/>
    </row>
    <row r="26" spans="1:15">
      <c r="A26" s="1"/>
      <c r="B26" s="1"/>
      <c r="C26" s="15" t="s">
        <v>25</v>
      </c>
      <c r="D26" s="16">
        <v>2.4</v>
      </c>
      <c r="E26" s="1"/>
      <c r="F26" s="1"/>
      <c r="G26" s="1"/>
      <c r="H26" s="1"/>
      <c r="I26" s="1"/>
      <c r="J26" s="1"/>
    </row>
    <row r="27" spans="1:15">
      <c r="A27" s="1"/>
      <c r="B27" s="1"/>
      <c r="C27" s="15" t="s">
        <v>39</v>
      </c>
      <c r="D27" s="16">
        <v>7.4</v>
      </c>
      <c r="E27" s="1"/>
      <c r="F27" s="1"/>
      <c r="G27" s="1"/>
      <c r="H27" s="1"/>
      <c r="I27" s="1"/>
      <c r="J27" s="1"/>
    </row>
    <row r="28" spans="1:15">
      <c r="A28" s="1"/>
      <c r="B28" s="1"/>
      <c r="C28" s="15" t="s">
        <v>25</v>
      </c>
      <c r="D28" s="16">
        <v>2.1</v>
      </c>
      <c r="E28" s="1"/>
      <c r="F28" s="1"/>
      <c r="G28" s="1"/>
      <c r="H28" s="1"/>
      <c r="I28" s="1"/>
      <c r="J28" s="1"/>
    </row>
    <row r="29" spans="1:15">
      <c r="A29" s="1"/>
      <c r="B29" s="1"/>
      <c r="C29" s="15" t="s">
        <v>25</v>
      </c>
      <c r="D29" s="16">
        <v>1.8</v>
      </c>
      <c r="E29" s="1"/>
      <c r="F29" s="1"/>
      <c r="G29" s="1"/>
      <c r="H29" s="1"/>
      <c r="I29" s="1"/>
      <c r="J29" s="1"/>
    </row>
    <row r="30" spans="1:15">
      <c r="A30" s="1"/>
      <c r="B30" s="1"/>
      <c r="C30" s="15" t="s">
        <v>25</v>
      </c>
      <c r="D30" s="16">
        <v>5.5</v>
      </c>
      <c r="E30" s="1"/>
      <c r="F30" s="1"/>
      <c r="G30" s="1"/>
      <c r="H30" s="1"/>
      <c r="I30" s="1"/>
      <c r="J30" s="1"/>
    </row>
    <row r="31" spans="1:15">
      <c r="A31" s="1"/>
      <c r="B31" s="1"/>
      <c r="C31" s="15" t="s">
        <v>25</v>
      </c>
      <c r="D31" s="16">
        <v>18.3</v>
      </c>
      <c r="E31" s="1"/>
      <c r="F31" s="1"/>
      <c r="G31" s="1"/>
      <c r="H31" s="1"/>
      <c r="I31" s="1"/>
      <c r="J31" s="1"/>
    </row>
    <row r="32" spans="1:15">
      <c r="A32" s="1"/>
      <c r="B32" s="1"/>
      <c r="C32" s="15" t="s">
        <v>25</v>
      </c>
      <c r="D32" s="16">
        <v>6.8</v>
      </c>
      <c r="E32" s="1"/>
      <c r="F32" s="1"/>
      <c r="G32" s="1"/>
      <c r="H32" s="1"/>
      <c r="I32" s="1"/>
      <c r="J32" s="1"/>
    </row>
    <row r="33" spans="1:10">
      <c r="A33" s="1"/>
      <c r="B33" s="1"/>
      <c r="C33" s="15" t="s">
        <v>25</v>
      </c>
      <c r="D33" s="16">
        <v>5.7</v>
      </c>
      <c r="E33" s="1"/>
      <c r="F33" s="1"/>
      <c r="G33" s="1"/>
      <c r="H33" s="1"/>
      <c r="I33" s="1"/>
      <c r="J33" s="1"/>
    </row>
    <row r="34" spans="1:10">
      <c r="A34" s="1"/>
      <c r="B34" s="1"/>
      <c r="C34" s="15" t="s">
        <v>25</v>
      </c>
      <c r="D34" s="16">
        <v>7.1</v>
      </c>
      <c r="E34" s="1"/>
      <c r="F34" s="1"/>
      <c r="G34" s="1"/>
      <c r="H34" s="1"/>
      <c r="I34" s="1"/>
      <c r="J34" s="1"/>
    </row>
    <row r="35" spans="1:10">
      <c r="A35" s="1"/>
      <c r="B35" s="1"/>
      <c r="C35" s="15" t="s">
        <v>25</v>
      </c>
      <c r="D35" s="16">
        <v>3.8</v>
      </c>
      <c r="E35" s="1"/>
      <c r="F35" s="1"/>
      <c r="G35" s="1"/>
      <c r="H35" s="1"/>
      <c r="I35" s="1"/>
      <c r="J35" s="1"/>
    </row>
    <row r="36" spans="1:10">
      <c r="A36" s="1"/>
      <c r="B36" s="1"/>
      <c r="C36" s="15" t="s">
        <v>22</v>
      </c>
      <c r="D36" s="16">
        <v>4</v>
      </c>
      <c r="E36" s="1"/>
      <c r="F36" s="1"/>
      <c r="G36" s="1"/>
      <c r="H36" s="1"/>
      <c r="I36" s="1"/>
      <c r="J36" s="1"/>
    </row>
    <row r="37" spans="1:10">
      <c r="A37" s="1"/>
      <c r="B37" s="1"/>
      <c r="C37" s="15" t="s">
        <v>25</v>
      </c>
      <c r="D37" s="16">
        <v>11.5</v>
      </c>
      <c r="E37" s="1"/>
      <c r="F37" s="1"/>
      <c r="G37" s="1"/>
      <c r="H37" s="1"/>
      <c r="I37" s="1"/>
      <c r="J37" s="1"/>
    </row>
    <row r="38" spans="1:10">
      <c r="A38" s="1"/>
      <c r="B38" s="1"/>
      <c r="C38" s="15" t="s">
        <v>22</v>
      </c>
      <c r="D38" s="16">
        <v>2.8</v>
      </c>
      <c r="E38" s="1"/>
      <c r="F38" s="1"/>
      <c r="G38" s="1"/>
      <c r="H38" s="1"/>
      <c r="I38" s="1"/>
      <c r="J38" s="1"/>
    </row>
    <row r="39" spans="1:10">
      <c r="A39" s="1"/>
      <c r="B39" s="1"/>
      <c r="C39" s="15" t="s">
        <v>22</v>
      </c>
      <c r="D39" s="16">
        <v>3</v>
      </c>
      <c r="E39" s="1"/>
      <c r="F39" s="1"/>
      <c r="G39" s="1"/>
      <c r="H39" s="1"/>
      <c r="I39" s="1"/>
      <c r="J39" s="1"/>
    </row>
    <row r="40" spans="1:10">
      <c r="A40" s="1"/>
      <c r="B40" s="1"/>
      <c r="C40" s="17" t="s">
        <v>22</v>
      </c>
      <c r="D40" s="16">
        <v>25.9</v>
      </c>
      <c r="E40" s="1"/>
      <c r="F40" s="1"/>
      <c r="G40" s="1"/>
      <c r="H40" s="1"/>
      <c r="I40" s="1"/>
      <c r="J40" s="1"/>
    </row>
    <row r="41" spans="1:10">
      <c r="A41" s="1"/>
      <c r="B41" s="1"/>
      <c r="C41" s="17" t="s">
        <v>25</v>
      </c>
      <c r="D41" s="16">
        <v>15.7</v>
      </c>
      <c r="E41" s="1"/>
      <c r="F41" s="1"/>
      <c r="G41" s="1"/>
      <c r="H41" s="1"/>
      <c r="I41" s="1"/>
      <c r="J41" s="1"/>
    </row>
    <row r="42" spans="1:10">
      <c r="A42" s="1"/>
      <c r="B42" s="1"/>
      <c r="C42" s="15" t="s">
        <v>22</v>
      </c>
      <c r="D42" s="16">
        <v>1.2</v>
      </c>
      <c r="E42" s="1"/>
      <c r="F42" s="1"/>
      <c r="G42" s="1"/>
      <c r="H42" s="1"/>
      <c r="I42" s="1"/>
      <c r="J42" s="1"/>
    </row>
    <row r="43" spans="1:10">
      <c r="A43" s="1"/>
      <c r="B43" s="1"/>
      <c r="C43" s="15" t="s">
        <v>22</v>
      </c>
      <c r="D43" s="16">
        <v>4.4000000000000004</v>
      </c>
      <c r="E43" s="1"/>
      <c r="F43" s="1"/>
      <c r="G43" s="1"/>
      <c r="H43" s="1"/>
      <c r="I43" s="1"/>
      <c r="J43" s="1"/>
    </row>
    <row r="44" spans="1:10">
      <c r="A44" s="1"/>
      <c r="B44" s="1"/>
      <c r="C44" s="15" t="s">
        <v>40</v>
      </c>
      <c r="D44" s="16">
        <v>4.5999999999999996</v>
      </c>
      <c r="E44" s="1"/>
      <c r="F44" s="1"/>
      <c r="G44" s="1"/>
      <c r="H44" s="1"/>
      <c r="I44" s="1"/>
      <c r="J44" s="1"/>
    </row>
    <row r="45" spans="1:10">
      <c r="A45" s="1"/>
      <c r="B45" s="1"/>
      <c r="C45" s="15" t="s">
        <v>22</v>
      </c>
      <c r="D45" s="16">
        <v>6.3</v>
      </c>
      <c r="E45" s="1"/>
      <c r="F45" s="1"/>
      <c r="G45" s="1"/>
      <c r="H45" s="1"/>
      <c r="I45" s="1"/>
      <c r="J45" s="1"/>
    </row>
    <row r="46" spans="1:10">
      <c r="A46" s="1"/>
      <c r="B46" s="1"/>
      <c r="C46" s="15" t="s">
        <v>22</v>
      </c>
      <c r="D46" s="16">
        <v>17.8</v>
      </c>
      <c r="E46" s="1"/>
      <c r="F46" s="1"/>
      <c r="G46" s="1"/>
      <c r="H46" s="1"/>
      <c r="I46" s="1"/>
      <c r="J46" s="1"/>
    </row>
    <row r="47" spans="1:10">
      <c r="A47" s="1"/>
      <c r="B47" s="1"/>
      <c r="C47" s="15" t="s">
        <v>40</v>
      </c>
      <c r="D47" s="16">
        <v>9.1999999999999993</v>
      </c>
      <c r="E47" s="1"/>
      <c r="F47" s="1"/>
      <c r="G47" s="1"/>
      <c r="H47" s="1"/>
      <c r="I47" s="1"/>
      <c r="J47" s="1"/>
    </row>
    <row r="48" spans="1:10">
      <c r="A48" s="1"/>
      <c r="B48" s="1"/>
      <c r="C48" s="15" t="s">
        <v>40</v>
      </c>
      <c r="D48" s="16">
        <v>19.8</v>
      </c>
      <c r="E48" s="1"/>
      <c r="F48" s="1"/>
      <c r="G48" s="1"/>
      <c r="H48" s="1"/>
      <c r="I48" s="1"/>
      <c r="J48" s="1"/>
    </row>
    <row r="49" spans="1:10">
      <c r="A49" s="1"/>
      <c r="B49" s="1"/>
      <c r="C49" s="15" t="s">
        <v>40</v>
      </c>
      <c r="D49" s="16" t="s">
        <v>41</v>
      </c>
      <c r="E49" s="1"/>
      <c r="F49" s="1"/>
      <c r="G49" s="1"/>
      <c r="H49" s="1"/>
      <c r="I49" s="1"/>
      <c r="J49" s="1"/>
    </row>
    <row r="50" spans="1:10">
      <c r="A50" s="1"/>
      <c r="B50" s="1"/>
      <c r="C50" s="15" t="s">
        <v>22</v>
      </c>
      <c r="D50" s="16">
        <v>4.8</v>
      </c>
      <c r="E50" s="1"/>
      <c r="F50" s="1"/>
      <c r="G50" s="1"/>
      <c r="H50" s="1"/>
      <c r="I50" s="1"/>
      <c r="J50" s="1"/>
    </row>
    <row r="51" spans="1:10">
      <c r="A51" s="1"/>
      <c r="B51" s="1"/>
      <c r="C51" s="15" t="s">
        <v>22</v>
      </c>
      <c r="D51" s="16">
        <v>2.2000000000000002</v>
      </c>
      <c r="E51" s="1"/>
      <c r="F51" s="1"/>
      <c r="G51" s="1"/>
      <c r="H51" s="1"/>
      <c r="I51" s="1"/>
      <c r="J51" s="1"/>
    </row>
    <row r="52" spans="1:10">
      <c r="A52" s="1"/>
      <c r="B52" s="1"/>
      <c r="C52" s="15" t="s">
        <v>22</v>
      </c>
      <c r="D52" s="16">
        <v>4</v>
      </c>
      <c r="E52" s="1"/>
      <c r="F52" s="1"/>
      <c r="G52" s="1"/>
      <c r="H52" s="1"/>
      <c r="I52" s="1"/>
      <c r="J52" s="1"/>
    </row>
    <row r="53" spans="1:10">
      <c r="A53" s="1"/>
      <c r="B53" s="1"/>
      <c r="C53" s="15" t="s">
        <v>22</v>
      </c>
      <c r="D53" s="16">
        <v>10</v>
      </c>
      <c r="E53" s="1"/>
      <c r="F53" s="1"/>
      <c r="G53" s="1"/>
      <c r="H53" s="1"/>
      <c r="I53" s="1"/>
      <c r="J53" s="1"/>
    </row>
    <row r="54" spans="1:10">
      <c r="A54" s="1"/>
      <c r="B54" s="1"/>
      <c r="C54" s="15" t="s">
        <v>22</v>
      </c>
      <c r="D54" s="16">
        <v>10.95</v>
      </c>
      <c r="E54" s="1"/>
      <c r="F54" s="1"/>
      <c r="G54" s="1"/>
      <c r="H54" s="1"/>
      <c r="I54" s="1"/>
      <c r="J54" s="1"/>
    </row>
    <row r="55" spans="1:10">
      <c r="A55" s="1"/>
      <c r="B55" s="1"/>
      <c r="C55" s="15" t="s">
        <v>42</v>
      </c>
      <c r="D55" s="16">
        <v>1.45</v>
      </c>
      <c r="E55" s="1"/>
      <c r="F55" s="1"/>
      <c r="G55" s="1"/>
      <c r="H55" s="1"/>
      <c r="I55" s="1"/>
      <c r="J55" s="1"/>
    </row>
    <row r="56" spans="1:10">
      <c r="A56" s="1"/>
      <c r="B56" s="1"/>
      <c r="C56" s="15" t="s">
        <v>40</v>
      </c>
      <c r="D56" s="16">
        <v>7.45</v>
      </c>
      <c r="E56" s="1"/>
      <c r="F56" s="1"/>
      <c r="G56" s="1"/>
      <c r="H56" s="1"/>
      <c r="I56" s="1"/>
      <c r="J56" s="1"/>
    </row>
    <row r="57" spans="1:10">
      <c r="A57" s="1"/>
      <c r="B57" s="1"/>
      <c r="C57" s="15" t="s">
        <v>43</v>
      </c>
      <c r="D57" s="16">
        <v>17.45</v>
      </c>
      <c r="E57" s="1"/>
      <c r="F57" s="1"/>
      <c r="G57" s="1"/>
      <c r="H57" s="1"/>
      <c r="I57" s="1"/>
      <c r="J57" s="1"/>
    </row>
    <row r="58" spans="1:10">
      <c r="A58" s="1"/>
      <c r="B58" s="1"/>
      <c r="C58" s="15" t="s">
        <v>40</v>
      </c>
      <c r="D58" s="16">
        <v>9.6</v>
      </c>
      <c r="E58" s="1"/>
      <c r="F58" s="1"/>
      <c r="G58" s="1"/>
      <c r="H58" s="1"/>
      <c r="I58" s="1"/>
      <c r="J58" s="1"/>
    </row>
    <row r="59" spans="1:10">
      <c r="A59" s="1"/>
      <c r="B59" s="1"/>
      <c r="C59" s="15" t="s">
        <v>22</v>
      </c>
      <c r="D59" s="16">
        <v>1.6</v>
      </c>
      <c r="E59" s="1"/>
      <c r="F59" s="1"/>
      <c r="G59" s="1"/>
      <c r="H59" s="1"/>
      <c r="I59" s="1"/>
      <c r="J59" s="1"/>
    </row>
    <row r="60" spans="1:10">
      <c r="A60" s="1"/>
      <c r="B60" s="1"/>
      <c r="C60" s="15" t="s">
        <v>22</v>
      </c>
      <c r="D60" s="16">
        <v>3.9</v>
      </c>
      <c r="E60" s="1"/>
      <c r="F60" s="1"/>
      <c r="G60" s="1"/>
      <c r="H60" s="1"/>
      <c r="I60" s="1"/>
      <c r="J60" s="1"/>
    </row>
    <row r="61" spans="1:10">
      <c r="A61" s="1"/>
      <c r="B61" s="1"/>
      <c r="C61" s="15" t="s">
        <v>22</v>
      </c>
      <c r="D61" s="16">
        <v>10.76</v>
      </c>
      <c r="E61" s="1"/>
      <c r="F61" s="1"/>
      <c r="G61" s="1"/>
      <c r="H61" s="1"/>
      <c r="I61" s="1"/>
      <c r="J61" s="1"/>
    </row>
    <row r="62" spans="1:10">
      <c r="A62" s="1"/>
      <c r="B62" s="1"/>
      <c r="C62" s="15" t="s">
        <v>22</v>
      </c>
      <c r="D62" s="16">
        <v>2.7</v>
      </c>
      <c r="E62" s="1"/>
      <c r="F62" s="1"/>
      <c r="G62" s="1"/>
      <c r="H62" s="1"/>
      <c r="I62" s="1"/>
      <c r="J62" s="1"/>
    </row>
    <row r="63" spans="1:10">
      <c r="A63" s="1"/>
      <c r="B63" s="1"/>
      <c r="C63" s="17" t="s">
        <v>44</v>
      </c>
      <c r="D63" s="16">
        <v>15.55</v>
      </c>
      <c r="E63" s="1"/>
      <c r="F63" s="1"/>
      <c r="G63" s="1"/>
      <c r="H63" s="1"/>
      <c r="I63" s="1"/>
      <c r="J63" s="1"/>
    </row>
    <row r="64" spans="1:10">
      <c r="A64" s="1"/>
      <c r="B64" s="1"/>
      <c r="C64" s="17" t="s">
        <v>44</v>
      </c>
      <c r="D64" s="16">
        <v>10.8</v>
      </c>
      <c r="E64" s="1"/>
      <c r="F64" s="1"/>
      <c r="G64" s="1"/>
      <c r="H64" s="1"/>
      <c r="I64" s="1"/>
      <c r="J64" s="1"/>
    </row>
    <row r="65" spans="1:10">
      <c r="A65" s="1"/>
      <c r="B65" s="1"/>
      <c r="C65" s="17" t="s">
        <v>45</v>
      </c>
      <c r="D65" s="16">
        <v>19</v>
      </c>
      <c r="E65" s="1"/>
      <c r="F65" s="1"/>
      <c r="G65" s="1"/>
      <c r="H65" s="1"/>
      <c r="I65" s="1"/>
      <c r="J65" s="1"/>
    </row>
    <row r="66" spans="1:10">
      <c r="A66" s="1"/>
      <c r="B66" s="1"/>
      <c r="C66" s="17" t="s">
        <v>46</v>
      </c>
      <c r="D66" s="16">
        <v>10.9</v>
      </c>
      <c r="E66" s="1"/>
      <c r="F66" s="1"/>
      <c r="G66" s="1"/>
      <c r="H66" s="1"/>
      <c r="I66" s="1"/>
      <c r="J66" s="1"/>
    </row>
    <row r="67" spans="1:10">
      <c r="A67" s="1"/>
      <c r="B67" s="1"/>
      <c r="C67" s="17" t="s">
        <v>47</v>
      </c>
      <c r="D67" s="16">
        <v>6</v>
      </c>
      <c r="E67" s="1"/>
      <c r="F67" s="1"/>
      <c r="G67" s="1"/>
      <c r="H67" s="1"/>
      <c r="I67" s="1"/>
      <c r="J67" s="1"/>
    </row>
    <row r="68" spans="1:10">
      <c r="A68" s="1"/>
      <c r="B68" s="1"/>
      <c r="C68" s="17" t="s">
        <v>44</v>
      </c>
      <c r="D68" s="16">
        <v>10.9</v>
      </c>
      <c r="E68" s="1"/>
      <c r="F68" s="1"/>
      <c r="G68" s="1"/>
      <c r="H68" s="1"/>
      <c r="I68" s="1"/>
      <c r="J68" s="1"/>
    </row>
    <row r="69" spans="1:10">
      <c r="A69" s="1"/>
      <c r="B69" s="1"/>
      <c r="C69" s="17" t="s">
        <v>47</v>
      </c>
      <c r="D69" s="16">
        <v>15.3</v>
      </c>
      <c r="E69" s="1"/>
      <c r="F69" s="1"/>
      <c r="G69" s="1"/>
      <c r="H69" s="1"/>
      <c r="I69" s="1"/>
      <c r="J69" s="1"/>
    </row>
    <row r="70" spans="1:10">
      <c r="A70" s="1"/>
      <c r="B70" s="1"/>
      <c r="C70" s="17" t="s">
        <v>47</v>
      </c>
      <c r="D70" s="16">
        <v>6.4</v>
      </c>
      <c r="E70" s="1"/>
      <c r="F70" s="1"/>
      <c r="G70" s="1"/>
      <c r="H70" s="1"/>
      <c r="I70" s="1"/>
      <c r="J70" s="1"/>
    </row>
    <row r="71" spans="1:10">
      <c r="A71" s="1"/>
      <c r="B71" s="1"/>
      <c r="C71" s="17" t="s">
        <v>47</v>
      </c>
      <c r="D71" s="16">
        <v>4.2</v>
      </c>
      <c r="E71" s="1"/>
      <c r="F71" s="1"/>
      <c r="G71" s="1"/>
      <c r="H71" s="1"/>
      <c r="I71" s="1"/>
      <c r="J71" s="1"/>
    </row>
    <row r="72" spans="1:10">
      <c r="A72" s="1"/>
      <c r="B72" s="1"/>
      <c r="C72" s="17" t="s">
        <v>22</v>
      </c>
      <c r="D72" s="16">
        <v>0.6</v>
      </c>
      <c r="E72" s="1"/>
      <c r="F72" s="1"/>
      <c r="G72" s="1"/>
      <c r="H72" s="1"/>
      <c r="I72" s="1"/>
      <c r="J72" s="1"/>
    </row>
    <row r="73" spans="1:10">
      <c r="A73" s="1"/>
      <c r="B73" s="1"/>
      <c r="C73" s="17" t="s">
        <v>22</v>
      </c>
      <c r="D73" s="16">
        <v>2</v>
      </c>
      <c r="E73" s="1"/>
      <c r="F73" s="1"/>
      <c r="G73" s="1"/>
      <c r="H73" s="1"/>
      <c r="I73" s="1"/>
      <c r="J73" s="1"/>
    </row>
    <row r="74" spans="1:10">
      <c r="A74" s="1"/>
      <c r="B74" s="1"/>
      <c r="C74" s="17" t="s">
        <v>22</v>
      </c>
      <c r="D74" s="16">
        <v>13.1</v>
      </c>
      <c r="E74" s="1"/>
      <c r="F74" s="1"/>
      <c r="G74" s="1"/>
      <c r="H74" s="1"/>
      <c r="I74" s="1"/>
      <c r="J74" s="1"/>
    </row>
    <row r="75" spans="1:10">
      <c r="A75" s="1"/>
      <c r="B75" s="1"/>
      <c r="C75" s="17" t="s">
        <v>22</v>
      </c>
      <c r="D75" s="16">
        <v>0.6</v>
      </c>
      <c r="E75" s="1"/>
      <c r="F75" s="1"/>
      <c r="G75" s="1"/>
      <c r="H75" s="1"/>
      <c r="I75" s="1"/>
      <c r="J75" s="1"/>
    </row>
    <row r="76" spans="1:10">
      <c r="A76" s="1"/>
      <c r="B76" s="1"/>
      <c r="C76" s="17" t="s">
        <v>47</v>
      </c>
      <c r="D76" s="16">
        <v>4.2</v>
      </c>
      <c r="E76" s="1"/>
      <c r="F76" s="1"/>
      <c r="G76" s="1"/>
      <c r="H76" s="1"/>
      <c r="I76" s="1"/>
      <c r="J76" s="1"/>
    </row>
    <row r="77" spans="1:10">
      <c r="A77" s="1"/>
      <c r="B77" s="1"/>
      <c r="C77" s="17" t="s">
        <v>47</v>
      </c>
      <c r="D77" s="16">
        <v>0.19</v>
      </c>
      <c r="E77" s="1"/>
      <c r="F77" s="1"/>
      <c r="G77" s="1"/>
      <c r="H77" s="1"/>
      <c r="I77" s="1"/>
      <c r="J77" s="1"/>
    </row>
    <row r="78" spans="1:10">
      <c r="A78" s="1"/>
      <c r="B78" s="1"/>
      <c r="C78" s="17" t="s">
        <v>47</v>
      </c>
      <c r="D78" s="16">
        <v>1.2</v>
      </c>
      <c r="E78" s="1"/>
      <c r="F78" s="1"/>
      <c r="G78" s="1"/>
      <c r="H78" s="1"/>
      <c r="I78" s="1"/>
      <c r="J78" s="1"/>
    </row>
    <row r="79" spans="1:10">
      <c r="A79" s="1"/>
      <c r="B79" s="1"/>
      <c r="C79" s="17" t="s">
        <v>47</v>
      </c>
      <c r="D79" s="16">
        <v>7.3</v>
      </c>
      <c r="E79" s="1"/>
      <c r="F79" s="1"/>
      <c r="G79" s="1"/>
      <c r="H79" s="1"/>
      <c r="I79" s="1"/>
      <c r="J79" s="1"/>
    </row>
    <row r="80" spans="1:10">
      <c r="A80" s="1"/>
      <c r="B80" s="1"/>
      <c r="C80" s="17" t="s">
        <v>47</v>
      </c>
      <c r="D80" s="16">
        <v>12.5</v>
      </c>
      <c r="E80" s="1"/>
      <c r="F80" s="1"/>
      <c r="G80" s="1"/>
      <c r="H80" s="1"/>
      <c r="I80" s="1"/>
      <c r="J80" s="1"/>
    </row>
    <row r="81" spans="1:10">
      <c r="A81" s="1"/>
      <c r="B81" s="1"/>
      <c r="C81" s="17" t="s">
        <v>47</v>
      </c>
      <c r="D81" s="16">
        <v>4.5999999999999996</v>
      </c>
      <c r="E81" s="1"/>
      <c r="F81" s="1"/>
      <c r="G81" s="1"/>
      <c r="H81" s="1"/>
      <c r="I81" s="1"/>
      <c r="J81" s="1"/>
    </row>
    <row r="82" spans="1:10">
      <c r="A82" s="1"/>
      <c r="B82" s="1"/>
      <c r="C82" s="17" t="s">
        <v>47</v>
      </c>
      <c r="D82" s="16">
        <v>3.1</v>
      </c>
      <c r="E82" s="1"/>
      <c r="F82" s="1"/>
      <c r="G82" s="1"/>
      <c r="H82" s="1"/>
      <c r="I82" s="1"/>
      <c r="J82" s="1"/>
    </row>
    <row r="83" spans="1:10">
      <c r="A83" s="1"/>
      <c r="B83" s="1"/>
      <c r="C83" s="17" t="s">
        <v>44</v>
      </c>
      <c r="D83" s="16">
        <v>0.43</v>
      </c>
      <c r="E83" s="1"/>
      <c r="F83" s="1"/>
      <c r="G83" s="1"/>
      <c r="H83" s="1"/>
      <c r="I83" s="1"/>
      <c r="J83" s="1"/>
    </row>
    <row r="84" spans="1:10">
      <c r="A84" s="1"/>
      <c r="B84" s="1"/>
      <c r="C84" s="17" t="s">
        <v>22</v>
      </c>
      <c r="D84" s="16">
        <v>3.7</v>
      </c>
      <c r="E84" s="1"/>
      <c r="F84" s="1"/>
      <c r="G84" s="1"/>
      <c r="H84" s="1"/>
      <c r="I84" s="1"/>
      <c r="J84" s="1"/>
    </row>
    <row r="85" spans="1:10">
      <c r="A85" s="1"/>
      <c r="B85" s="1"/>
      <c r="C85" s="17" t="s">
        <v>22</v>
      </c>
      <c r="D85" s="16">
        <v>6.7</v>
      </c>
      <c r="E85" s="1"/>
      <c r="F85" s="1"/>
      <c r="G85" s="1"/>
      <c r="H85" s="1"/>
      <c r="I85" s="1"/>
      <c r="J85" s="1"/>
    </row>
    <row r="86" spans="1:10">
      <c r="A86" s="1"/>
      <c r="B86" s="1"/>
      <c r="C86" s="17" t="s">
        <v>48</v>
      </c>
      <c r="D86" s="16">
        <v>7.5</v>
      </c>
      <c r="E86" s="1"/>
      <c r="F86" s="1"/>
      <c r="G86" s="1"/>
      <c r="H86" s="1"/>
      <c r="I86" s="1"/>
      <c r="J86" s="1"/>
    </row>
    <row r="87" spans="1:10">
      <c r="A87" s="1"/>
      <c r="B87" s="1"/>
      <c r="C87" s="17" t="s">
        <v>49</v>
      </c>
      <c r="D87" s="16">
        <v>4.0999999999999996</v>
      </c>
      <c r="E87" s="1"/>
      <c r="F87" s="1"/>
      <c r="G87" s="1"/>
      <c r="H87" s="1"/>
      <c r="I87" s="1"/>
      <c r="J87" s="1"/>
    </row>
    <row r="88" spans="1:10">
      <c r="A88" s="1"/>
      <c r="B88" s="1"/>
      <c r="C88" s="17" t="s">
        <v>40</v>
      </c>
      <c r="D88" s="16">
        <v>3</v>
      </c>
      <c r="E88" s="1"/>
      <c r="F88" s="1"/>
      <c r="G88" s="1"/>
      <c r="H88" s="1"/>
      <c r="I88" s="1"/>
      <c r="J88" s="1"/>
    </row>
    <row r="89" spans="1:10">
      <c r="A89" s="1"/>
      <c r="B89" s="1"/>
      <c r="C89" s="17" t="s">
        <v>49</v>
      </c>
      <c r="D89" s="16">
        <v>1.6</v>
      </c>
      <c r="E89" s="1"/>
      <c r="F89" s="1"/>
      <c r="G89" s="1"/>
      <c r="H89" s="1"/>
      <c r="I89" s="1"/>
      <c r="J89" s="1"/>
    </row>
    <row r="90" spans="1:10">
      <c r="A90" s="1"/>
      <c r="B90" s="1"/>
      <c r="C90" s="15" t="s">
        <v>49</v>
      </c>
      <c r="D90" s="16">
        <v>1.8</v>
      </c>
      <c r="E90" s="1"/>
      <c r="F90" s="1"/>
      <c r="G90" s="1"/>
      <c r="H90" s="1"/>
      <c r="I90" s="1"/>
      <c r="J90" s="1"/>
    </row>
    <row r="91" spans="1:10">
      <c r="A91" s="1"/>
      <c r="B91" s="1"/>
      <c r="C91" s="15" t="s">
        <v>47</v>
      </c>
      <c r="D91" s="16">
        <v>10</v>
      </c>
      <c r="E91" s="1"/>
      <c r="F91" s="1"/>
      <c r="G91" s="1"/>
      <c r="H91" s="1"/>
      <c r="I91" s="1"/>
      <c r="J91" s="1"/>
    </row>
    <row r="92" spans="1:10">
      <c r="A92" s="1"/>
      <c r="B92" s="1"/>
      <c r="C92" s="15" t="s">
        <v>50</v>
      </c>
      <c r="D92" s="16">
        <v>3.1</v>
      </c>
      <c r="E92" s="1"/>
      <c r="F92" s="1"/>
      <c r="G92" s="1"/>
      <c r="H92" s="1"/>
      <c r="I92" s="1"/>
      <c r="J92" s="1"/>
    </row>
    <row r="93" spans="1:10">
      <c r="A93" s="1"/>
      <c r="B93" s="1"/>
      <c r="C93" s="15" t="s">
        <v>44</v>
      </c>
      <c r="D93" s="16">
        <v>5.3</v>
      </c>
      <c r="E93" s="1"/>
      <c r="F93" s="1"/>
      <c r="G93" s="1"/>
      <c r="H93" s="1"/>
      <c r="I93" s="1"/>
      <c r="J93" s="1"/>
    </row>
    <row r="94" spans="1:10">
      <c r="A94" s="1"/>
      <c r="B94" s="1"/>
      <c r="C94" s="15" t="s">
        <v>13</v>
      </c>
      <c r="D94" s="16">
        <v>7.6</v>
      </c>
      <c r="E94" s="1"/>
      <c r="F94" s="1"/>
      <c r="G94" s="1"/>
      <c r="H94" s="1"/>
      <c r="I94" s="1"/>
      <c r="J94" s="1"/>
    </row>
    <row r="95" spans="1:10">
      <c r="A95" s="1"/>
      <c r="B95" s="1"/>
      <c r="C95" s="15" t="s">
        <v>47</v>
      </c>
      <c r="D95" s="16">
        <v>6</v>
      </c>
      <c r="E95" s="1"/>
      <c r="F95" s="1"/>
      <c r="G95" s="1"/>
      <c r="H95" s="1"/>
      <c r="I95" s="1"/>
      <c r="J95" s="1"/>
    </row>
    <row r="96" spans="1:10">
      <c r="A96" s="1"/>
      <c r="B96" s="1"/>
      <c r="C96" s="15" t="s">
        <v>22</v>
      </c>
      <c r="D96" s="16">
        <v>11.1</v>
      </c>
      <c r="E96" s="1"/>
      <c r="F96" s="1"/>
      <c r="G96" s="1"/>
      <c r="H96" s="1"/>
      <c r="I96" s="1"/>
      <c r="J96" s="1"/>
    </row>
    <row r="97" spans="1:10">
      <c r="A97" s="1"/>
      <c r="B97" s="1"/>
      <c r="C97" s="15" t="s">
        <v>51</v>
      </c>
      <c r="D97" s="16">
        <v>0.9</v>
      </c>
      <c r="E97" s="1"/>
      <c r="F97" s="1"/>
      <c r="G97" s="1"/>
      <c r="H97" s="1"/>
      <c r="I97" s="1"/>
      <c r="J97" s="1"/>
    </row>
    <row r="98" spans="1:10">
      <c r="A98" s="1"/>
      <c r="B98" s="1"/>
      <c r="C98" s="15" t="s">
        <v>47</v>
      </c>
      <c r="D98" s="16">
        <v>1.6</v>
      </c>
      <c r="E98" s="1"/>
      <c r="F98" s="1"/>
      <c r="G98" s="1"/>
      <c r="H98" s="1"/>
      <c r="I98" s="1"/>
      <c r="J98" s="1"/>
    </row>
    <row r="99" spans="1:10">
      <c r="A99" s="1"/>
      <c r="B99" s="1"/>
      <c r="C99" s="15" t="s">
        <v>47</v>
      </c>
      <c r="D99" s="16">
        <v>10.3</v>
      </c>
      <c r="E99" s="1"/>
      <c r="F99" s="1"/>
      <c r="G99" s="1"/>
      <c r="H99" s="1"/>
      <c r="I99" s="1"/>
      <c r="J99" s="1"/>
    </row>
    <row r="100" spans="1:10">
      <c r="A100" s="1"/>
      <c r="B100" s="1"/>
      <c r="C100" s="15" t="s">
        <v>47</v>
      </c>
      <c r="D100" s="16">
        <v>9.1999999999999993</v>
      </c>
      <c r="E100" s="1"/>
      <c r="F100" s="1"/>
      <c r="G100" s="1"/>
      <c r="H100" s="1"/>
      <c r="I100" s="1"/>
      <c r="J100" s="1"/>
    </row>
    <row r="101" spans="1:10">
      <c r="A101" s="1"/>
      <c r="B101" s="1"/>
      <c r="C101" s="15" t="s">
        <v>22</v>
      </c>
      <c r="D101" s="16">
        <v>6.6</v>
      </c>
      <c r="E101" s="1"/>
      <c r="F101" s="1"/>
      <c r="G101" s="1"/>
      <c r="H101" s="1"/>
      <c r="I101" s="1"/>
      <c r="J101" s="1"/>
    </row>
    <row r="102" spans="1:10">
      <c r="A102" s="1"/>
      <c r="B102" s="1"/>
      <c r="C102" s="15" t="s">
        <v>47</v>
      </c>
      <c r="D102" s="16">
        <v>1.6</v>
      </c>
      <c r="E102" s="1"/>
      <c r="F102" s="1"/>
      <c r="G102" s="1"/>
      <c r="H102" s="1"/>
      <c r="I102" s="1"/>
      <c r="J102" s="1"/>
    </row>
    <row r="103" spans="1:10">
      <c r="A103" s="1"/>
      <c r="B103" s="1"/>
      <c r="C103" s="15" t="s">
        <v>40</v>
      </c>
      <c r="D103" s="16">
        <v>6.2</v>
      </c>
      <c r="E103" s="1"/>
      <c r="F103" s="1"/>
      <c r="G103" s="1"/>
      <c r="H103" s="1"/>
      <c r="I103" s="1"/>
      <c r="J103" s="1"/>
    </row>
    <row r="104" spans="1:10">
      <c r="A104" s="1"/>
      <c r="B104" s="1"/>
      <c r="C104" s="15" t="s">
        <v>13</v>
      </c>
      <c r="D104" s="16">
        <v>4</v>
      </c>
      <c r="E104" s="1"/>
      <c r="F104" s="1"/>
      <c r="G104" s="1"/>
      <c r="H104" s="1"/>
      <c r="I104" s="1"/>
      <c r="J104" s="1"/>
    </row>
    <row r="105" spans="1:10">
      <c r="A105" s="1"/>
      <c r="B105" s="1"/>
      <c r="C105" s="15" t="s">
        <v>13</v>
      </c>
      <c r="D105" s="16">
        <v>6.5</v>
      </c>
      <c r="E105" s="1"/>
      <c r="F105" s="1"/>
      <c r="G105" s="1"/>
      <c r="H105" s="1"/>
      <c r="I105" s="1"/>
      <c r="J105" s="1"/>
    </row>
    <row r="106" spans="1:10">
      <c r="A106" s="1"/>
      <c r="B106" s="1"/>
      <c r="C106" s="15" t="s">
        <v>13</v>
      </c>
      <c r="D106" s="16">
        <v>5.3</v>
      </c>
      <c r="E106" s="1"/>
      <c r="F106" s="1"/>
      <c r="G106" s="1"/>
      <c r="H106" s="1"/>
      <c r="I106" s="1"/>
      <c r="J106" s="1"/>
    </row>
    <row r="107" spans="1:10">
      <c r="A107" s="1"/>
      <c r="B107" s="1"/>
      <c r="C107" s="15" t="s">
        <v>51</v>
      </c>
      <c r="D107" s="16">
        <v>7</v>
      </c>
      <c r="E107" s="1"/>
      <c r="F107" s="1"/>
      <c r="G107" s="1"/>
      <c r="H107" s="1"/>
      <c r="I107" s="1"/>
      <c r="J107" s="1"/>
    </row>
    <row r="108" spans="1:10">
      <c r="A108" s="1"/>
      <c r="B108" s="1"/>
      <c r="C108" s="15" t="s">
        <v>13</v>
      </c>
      <c r="D108" s="16">
        <v>8.5</v>
      </c>
      <c r="E108" s="1"/>
      <c r="F108" s="1"/>
      <c r="G108" s="1"/>
      <c r="H108" s="1"/>
      <c r="I108" s="1"/>
      <c r="J108" s="1"/>
    </row>
    <row r="109" spans="1:10">
      <c r="A109" s="1"/>
      <c r="B109" s="1"/>
      <c r="C109" s="15" t="s">
        <v>51</v>
      </c>
      <c r="D109" s="16">
        <v>5.4</v>
      </c>
      <c r="E109" s="1"/>
      <c r="F109" s="1"/>
      <c r="G109" s="1"/>
      <c r="H109" s="1"/>
      <c r="I109" s="1"/>
      <c r="J109" s="1"/>
    </row>
    <row r="110" spans="1:10">
      <c r="A110" s="1"/>
      <c r="B110" s="1"/>
      <c r="C110" s="15" t="s">
        <v>51</v>
      </c>
      <c r="D110" s="16">
        <v>11.9</v>
      </c>
      <c r="E110" s="1"/>
      <c r="F110" s="1"/>
      <c r="G110" s="1"/>
      <c r="H110" s="1"/>
      <c r="I110" s="1"/>
      <c r="J110" s="1"/>
    </row>
    <row r="111" spans="1:10">
      <c r="A111" s="1"/>
      <c r="B111" s="1"/>
      <c r="C111" s="15" t="s">
        <v>51</v>
      </c>
      <c r="D111" s="16">
        <v>3.2</v>
      </c>
      <c r="E111" s="1"/>
      <c r="F111" s="1"/>
      <c r="G111" s="1"/>
      <c r="H111" s="1"/>
      <c r="I111" s="1"/>
      <c r="J111" s="1"/>
    </row>
    <row r="112" spans="1:10">
      <c r="A112" s="1"/>
      <c r="B112" s="1"/>
      <c r="C112" s="15" t="s">
        <v>13</v>
      </c>
      <c r="D112" s="16">
        <v>11.5</v>
      </c>
      <c r="E112" s="1"/>
      <c r="F112" s="1"/>
      <c r="G112" s="1"/>
      <c r="H112" s="1"/>
      <c r="I112" s="1"/>
      <c r="J112" s="1"/>
    </row>
    <row r="113" spans="1:10">
      <c r="A113" s="1"/>
      <c r="B113" s="1"/>
      <c r="C113" s="15" t="s">
        <v>51</v>
      </c>
      <c r="D113" s="16">
        <v>3</v>
      </c>
      <c r="E113" s="1"/>
      <c r="F113" s="1"/>
      <c r="G113" s="1"/>
      <c r="H113" s="1"/>
      <c r="I113" s="1"/>
      <c r="J113" s="1"/>
    </row>
    <row r="114" spans="1:10">
      <c r="A114" s="1"/>
      <c r="B114" s="1"/>
      <c r="C114" s="15" t="s">
        <v>42</v>
      </c>
      <c r="D114" s="16">
        <v>8.3000000000000007</v>
      </c>
      <c r="E114" s="1"/>
      <c r="F114" s="1"/>
      <c r="G114" s="1"/>
      <c r="H114" s="1"/>
      <c r="I114" s="1"/>
      <c r="J114" s="1"/>
    </row>
    <row r="115" spans="1:10">
      <c r="A115" s="1"/>
      <c r="B115" s="1"/>
      <c r="C115" s="15" t="s">
        <v>22</v>
      </c>
      <c r="D115" s="16">
        <v>10.5</v>
      </c>
      <c r="E115" s="1"/>
      <c r="F115" s="1"/>
      <c r="G115" s="1"/>
      <c r="H115" s="1"/>
      <c r="I115" s="1"/>
      <c r="J115" s="1"/>
    </row>
    <row r="116" spans="1:10">
      <c r="A116" s="1"/>
      <c r="B116" s="1"/>
      <c r="C116" s="15" t="s">
        <v>42</v>
      </c>
      <c r="D116" s="16">
        <v>9.8000000000000007</v>
      </c>
      <c r="E116" s="1"/>
      <c r="F116" s="1"/>
      <c r="G116" s="1"/>
      <c r="H116" s="1"/>
      <c r="I116" s="1"/>
      <c r="J116" s="1"/>
    </row>
    <row r="117" spans="1:10">
      <c r="A117" s="1"/>
      <c r="B117" s="1"/>
      <c r="C117" s="15" t="s">
        <v>51</v>
      </c>
      <c r="D117" s="16">
        <v>6.2</v>
      </c>
      <c r="E117" s="1"/>
      <c r="F117" s="1"/>
      <c r="G117" s="1"/>
      <c r="H117" s="1"/>
      <c r="I117" s="1"/>
      <c r="J117" s="1"/>
    </row>
    <row r="118" spans="1:10">
      <c r="A118" s="1"/>
      <c r="B118" s="1"/>
      <c r="C118" s="15" t="s">
        <v>40</v>
      </c>
      <c r="D118" s="16">
        <v>14</v>
      </c>
      <c r="E118" s="1"/>
      <c r="F118" s="1"/>
      <c r="G118" s="1"/>
      <c r="H118" s="1"/>
      <c r="I118" s="1"/>
      <c r="J118" s="1"/>
    </row>
    <row r="119" spans="1:10">
      <c r="A119" s="1"/>
      <c r="B119" s="1"/>
      <c r="C119" s="15" t="s">
        <v>17</v>
      </c>
      <c r="D119" s="16">
        <v>7.5</v>
      </c>
      <c r="E119" s="1"/>
      <c r="F119" s="1"/>
      <c r="G119" s="1"/>
      <c r="H119" s="1"/>
      <c r="I119" s="1"/>
      <c r="J119" s="1"/>
    </row>
    <row r="120" spans="1:10">
      <c r="A120" s="1"/>
      <c r="B120" s="1"/>
      <c r="C120" s="15" t="s">
        <v>51</v>
      </c>
      <c r="D120" s="16">
        <v>5</v>
      </c>
      <c r="E120" s="1"/>
      <c r="F120" s="1"/>
      <c r="G120" s="1"/>
      <c r="H120" s="1"/>
      <c r="I120" s="1"/>
      <c r="J120" s="1"/>
    </row>
    <row r="121" spans="1:10">
      <c r="A121" s="1"/>
      <c r="B121" s="1"/>
      <c r="C121" s="15" t="s">
        <v>40</v>
      </c>
      <c r="D121" s="16">
        <v>2.2000000000000002</v>
      </c>
      <c r="E121" s="1"/>
      <c r="F121" s="1"/>
      <c r="G121" s="1"/>
      <c r="H121" s="1"/>
      <c r="I121" s="1"/>
      <c r="J121" s="1"/>
    </row>
    <row r="122" spans="1:10">
      <c r="A122" s="1"/>
      <c r="B122" s="1"/>
      <c r="C122" s="15" t="s">
        <v>51</v>
      </c>
      <c r="D122" s="16">
        <v>4.5</v>
      </c>
      <c r="E122" s="1"/>
      <c r="F122" s="1"/>
      <c r="G122" s="1"/>
      <c r="H122" s="1"/>
      <c r="I122" s="1"/>
      <c r="J122" s="1"/>
    </row>
    <row r="123" spans="1:10">
      <c r="A123" s="1"/>
      <c r="B123" s="1"/>
      <c r="C123" s="15" t="s">
        <v>22</v>
      </c>
      <c r="D123" s="16">
        <v>1.8</v>
      </c>
      <c r="E123" s="1"/>
      <c r="F123" s="1"/>
      <c r="G123" s="1"/>
      <c r="H123" s="1"/>
      <c r="I123" s="1"/>
      <c r="J123" s="1"/>
    </row>
    <row r="124" spans="1:10">
      <c r="A124" s="1"/>
      <c r="B124" s="1"/>
      <c r="C124" s="15" t="s">
        <v>52</v>
      </c>
      <c r="D124" s="16">
        <v>4.5999999999999996</v>
      </c>
      <c r="E124" s="1"/>
      <c r="F124" s="1"/>
      <c r="G124" s="1"/>
      <c r="H124" s="1"/>
      <c r="I124" s="1"/>
      <c r="J124" s="1"/>
    </row>
    <row r="125" spans="1:10">
      <c r="A125" s="1"/>
      <c r="B125" s="1"/>
      <c r="C125" s="15" t="s">
        <v>42</v>
      </c>
      <c r="D125" s="16">
        <v>6.1</v>
      </c>
      <c r="E125" s="1"/>
      <c r="F125" s="1"/>
      <c r="G125" s="1"/>
      <c r="H125" s="1"/>
      <c r="I125" s="1"/>
      <c r="J125" s="1"/>
    </row>
    <row r="126" spans="1:10">
      <c r="A126" s="1"/>
      <c r="B126" s="1"/>
      <c r="C126" s="15" t="s">
        <v>42</v>
      </c>
      <c r="D126" s="16">
        <v>8.8000000000000007</v>
      </c>
      <c r="E126" s="1"/>
      <c r="F126" s="1"/>
      <c r="G126" s="1"/>
      <c r="H126" s="1"/>
      <c r="I126" s="1"/>
      <c r="J126" s="1"/>
    </row>
    <row r="127" spans="1:10">
      <c r="A127" s="1"/>
      <c r="B127" s="1"/>
      <c r="C127" s="15" t="s">
        <v>40</v>
      </c>
      <c r="D127" s="16">
        <v>10.1</v>
      </c>
      <c r="E127" s="1"/>
      <c r="F127" s="1"/>
      <c r="G127" s="1"/>
      <c r="H127" s="1"/>
      <c r="I127" s="1"/>
      <c r="J127" s="1"/>
    </row>
    <row r="128" spans="1:10">
      <c r="A128" s="1"/>
      <c r="B128" s="1"/>
      <c r="C128" s="15" t="s">
        <v>52</v>
      </c>
      <c r="D128" s="16">
        <v>8.8000000000000007</v>
      </c>
      <c r="E128" s="1"/>
      <c r="F128" s="1"/>
      <c r="G128" s="1"/>
      <c r="H128" s="1"/>
      <c r="I128" s="1"/>
      <c r="J128" s="1"/>
    </row>
    <row r="129" spans="1:10">
      <c r="A129" s="1"/>
      <c r="B129" s="1"/>
      <c r="C129" s="15" t="s">
        <v>22</v>
      </c>
      <c r="D129" s="16">
        <v>10.5</v>
      </c>
      <c r="E129" s="1"/>
      <c r="F129" s="1"/>
      <c r="G129" s="1"/>
      <c r="H129" s="1"/>
      <c r="I129" s="1"/>
      <c r="J129" s="1"/>
    </row>
    <row r="130" spans="1:10">
      <c r="A130" s="1"/>
      <c r="B130" s="1"/>
      <c r="C130" s="15" t="s">
        <v>22</v>
      </c>
      <c r="D130" s="16">
        <v>5.9</v>
      </c>
      <c r="E130" s="1"/>
      <c r="F130" s="1"/>
      <c r="G130" s="1"/>
      <c r="H130" s="1"/>
      <c r="I130" s="1"/>
      <c r="J130" s="1"/>
    </row>
    <row r="131" spans="1:10">
      <c r="A131" s="1"/>
      <c r="B131" s="1"/>
      <c r="C131" s="15" t="s">
        <v>40</v>
      </c>
      <c r="D131" s="16">
        <v>6.9</v>
      </c>
      <c r="E131" s="1"/>
      <c r="F131" s="1"/>
      <c r="G131" s="1"/>
      <c r="H131" s="1"/>
      <c r="I131" s="1"/>
      <c r="J131" s="1"/>
    </row>
    <row r="132" spans="1:10">
      <c r="A132" s="1"/>
      <c r="B132" s="1"/>
      <c r="C132" s="15" t="s">
        <v>22</v>
      </c>
      <c r="D132" s="16">
        <v>4</v>
      </c>
      <c r="E132" s="1"/>
      <c r="F132" s="1"/>
      <c r="G132" s="1"/>
      <c r="H132" s="1"/>
      <c r="I132" s="1"/>
      <c r="J132" s="1"/>
    </row>
    <row r="133" spans="1:10">
      <c r="A133" s="1"/>
      <c r="B133" s="1"/>
      <c r="C133" s="15" t="s">
        <v>40</v>
      </c>
      <c r="D133" s="16">
        <v>8.1</v>
      </c>
      <c r="E133" s="1"/>
      <c r="F133" s="1"/>
      <c r="G133" s="1"/>
      <c r="H133" s="1"/>
      <c r="I133" s="1"/>
      <c r="J133" s="1"/>
    </row>
    <row r="134" spans="1:10">
      <c r="A134" s="1"/>
      <c r="B134" s="1"/>
      <c r="C134" s="15" t="s">
        <v>51</v>
      </c>
      <c r="D134" s="16">
        <v>8.6</v>
      </c>
      <c r="E134" s="1"/>
      <c r="F134" s="1"/>
      <c r="G134" s="1"/>
      <c r="H134" s="1"/>
      <c r="I134" s="1"/>
      <c r="J134" s="1"/>
    </row>
    <row r="135" spans="1:10">
      <c r="A135" s="1"/>
      <c r="B135" s="1"/>
      <c r="C135" s="15" t="s">
        <v>49</v>
      </c>
      <c r="D135" s="16">
        <v>3.7</v>
      </c>
      <c r="E135" s="1"/>
      <c r="F135" s="1"/>
      <c r="G135" s="1"/>
      <c r="H135" s="1"/>
      <c r="I135" s="1"/>
      <c r="J135" s="1"/>
    </row>
    <row r="136" spans="1:10">
      <c r="A136" s="1"/>
      <c r="B136" s="1"/>
      <c r="C136" s="15" t="s">
        <v>40</v>
      </c>
      <c r="D136" s="16">
        <v>11.6</v>
      </c>
      <c r="E136" s="1"/>
      <c r="F136" s="1"/>
      <c r="G136" s="1"/>
      <c r="H136" s="1"/>
      <c r="I136" s="1"/>
      <c r="J136" s="1"/>
    </row>
    <row r="137" spans="1:10">
      <c r="A137" s="1"/>
      <c r="B137" s="1"/>
      <c r="C137" s="15" t="s">
        <v>17</v>
      </c>
      <c r="D137" s="16">
        <v>4.4000000000000004</v>
      </c>
      <c r="E137" s="1"/>
      <c r="F137" s="1"/>
      <c r="G137" s="1"/>
      <c r="H137" s="1"/>
      <c r="I137" s="1"/>
      <c r="J137" s="1"/>
    </row>
    <row r="138" spans="1:10">
      <c r="A138" s="1"/>
      <c r="B138" s="1"/>
      <c r="C138" s="15" t="s">
        <v>17</v>
      </c>
      <c r="D138" s="16">
        <v>7.6</v>
      </c>
      <c r="E138" s="1"/>
      <c r="F138" s="1"/>
      <c r="G138" s="1"/>
      <c r="H138" s="1"/>
      <c r="I138" s="1"/>
      <c r="J138" s="1"/>
    </row>
    <row r="139" spans="1:10">
      <c r="A139" s="1"/>
      <c r="B139" s="1"/>
      <c r="C139" s="15" t="s">
        <v>40</v>
      </c>
      <c r="D139" s="16">
        <v>2.5</v>
      </c>
      <c r="E139" s="1"/>
      <c r="F139" s="1"/>
      <c r="G139" s="1"/>
      <c r="H139" s="1"/>
      <c r="I139" s="1"/>
      <c r="J139" s="1"/>
    </row>
    <row r="140" spans="1:10">
      <c r="A140" s="1"/>
      <c r="B140" s="1"/>
      <c r="C140" s="15" t="s">
        <v>40</v>
      </c>
      <c r="D140" s="16">
        <v>13.1</v>
      </c>
      <c r="E140" s="1"/>
      <c r="F140" s="1"/>
      <c r="G140" s="1"/>
      <c r="H140" s="1"/>
      <c r="I140" s="1"/>
      <c r="J140" s="1"/>
    </row>
    <row r="141" spans="1:10">
      <c r="A141" s="1"/>
      <c r="B141" s="1"/>
      <c r="C141" s="15" t="s">
        <v>52</v>
      </c>
      <c r="D141" s="16">
        <v>9.3000000000000007</v>
      </c>
      <c r="E141" s="1"/>
      <c r="F141" s="1"/>
      <c r="G141" s="1"/>
      <c r="H141" s="1"/>
      <c r="I141" s="1"/>
      <c r="J141" s="1"/>
    </row>
    <row r="142" spans="1:10">
      <c r="A142" s="1"/>
      <c r="B142" s="1"/>
      <c r="C142" s="15" t="s">
        <v>17</v>
      </c>
      <c r="D142" s="16">
        <v>3.7</v>
      </c>
      <c r="E142" s="1"/>
      <c r="F142" s="1"/>
      <c r="G142" s="1"/>
      <c r="H142" s="1"/>
      <c r="I142" s="1"/>
      <c r="J142" s="1"/>
    </row>
    <row r="143" spans="1:10">
      <c r="A143" s="1"/>
      <c r="B143" s="1"/>
      <c r="C143" s="15" t="s">
        <v>22</v>
      </c>
      <c r="D143" s="16">
        <v>2.5</v>
      </c>
      <c r="E143" s="1"/>
      <c r="F143" s="1"/>
      <c r="G143" s="1"/>
      <c r="H143" s="1"/>
      <c r="I143" s="1"/>
      <c r="J143" s="1"/>
    </row>
    <row r="144" spans="1:10">
      <c r="A144" s="1"/>
      <c r="B144" s="1"/>
      <c r="C144" s="15" t="s">
        <v>22</v>
      </c>
      <c r="D144" s="16">
        <v>2.4</v>
      </c>
      <c r="E144" s="1"/>
      <c r="F144" s="1"/>
      <c r="G144" s="1"/>
      <c r="H144" s="1"/>
      <c r="I144" s="1"/>
      <c r="J144" s="1"/>
    </row>
    <row r="145" spans="1:10">
      <c r="A145" s="1"/>
      <c r="B145" s="1"/>
      <c r="C145" s="15" t="s">
        <v>22</v>
      </c>
      <c r="D145" s="16">
        <v>5.8</v>
      </c>
      <c r="E145" s="1"/>
      <c r="F145" s="1"/>
      <c r="G145" s="1"/>
      <c r="H145" s="1"/>
      <c r="I145" s="1"/>
      <c r="J145" s="1"/>
    </row>
    <row r="146" spans="1:10">
      <c r="A146" s="1"/>
      <c r="B146" s="1"/>
      <c r="C146" s="15" t="s">
        <v>22</v>
      </c>
      <c r="D146" s="16">
        <v>9.8000000000000007</v>
      </c>
      <c r="E146" s="1"/>
      <c r="F146" s="1"/>
      <c r="G146" s="1"/>
      <c r="H146" s="1"/>
      <c r="I146" s="1"/>
      <c r="J146" s="1"/>
    </row>
    <row r="147" spans="1:10">
      <c r="A147" s="1"/>
      <c r="B147" s="1"/>
      <c r="C147" s="15" t="s">
        <v>53</v>
      </c>
      <c r="D147" s="16">
        <v>20.6</v>
      </c>
      <c r="E147" s="1"/>
      <c r="F147" s="1"/>
      <c r="G147" s="1"/>
      <c r="H147" s="1"/>
      <c r="I147" s="1"/>
      <c r="J147" s="1"/>
    </row>
    <row r="148" spans="1:10">
      <c r="A148" s="1"/>
      <c r="B148" s="1"/>
      <c r="C148" s="15" t="s">
        <v>53</v>
      </c>
      <c r="D148" s="16">
        <v>19.2</v>
      </c>
      <c r="E148" s="1"/>
      <c r="F148" s="1"/>
      <c r="G148" s="1"/>
      <c r="H148" s="1"/>
      <c r="I148" s="1"/>
      <c r="J148" s="1"/>
    </row>
    <row r="149" spans="1:10">
      <c r="A149" s="1"/>
      <c r="B149" s="1"/>
      <c r="C149" s="15" t="s">
        <v>53</v>
      </c>
      <c r="D149" s="16">
        <v>13.7</v>
      </c>
      <c r="E149" s="1"/>
      <c r="F149" s="1"/>
      <c r="G149" s="1"/>
      <c r="H149" s="1"/>
      <c r="I149" s="1"/>
      <c r="J149" s="1"/>
    </row>
    <row r="150" spans="1:10">
      <c r="A150" s="1"/>
      <c r="B150" s="1"/>
      <c r="C150" s="15" t="s">
        <v>40</v>
      </c>
      <c r="D150" s="16">
        <v>1.6</v>
      </c>
      <c r="E150" s="1"/>
      <c r="F150" s="1"/>
      <c r="G150" s="1"/>
      <c r="H150" s="1"/>
      <c r="I150" s="1"/>
      <c r="J150" s="1"/>
    </row>
    <row r="151" spans="1:10">
      <c r="A151" s="1"/>
      <c r="B151" s="1"/>
      <c r="C151" s="15" t="s">
        <v>40</v>
      </c>
      <c r="D151" s="16">
        <v>9.9</v>
      </c>
      <c r="E151" s="1"/>
      <c r="F151" s="1"/>
      <c r="G151" s="1"/>
      <c r="H151" s="1"/>
      <c r="I151" s="1"/>
      <c r="J151" s="1"/>
    </row>
    <row r="152" spans="1:10">
      <c r="A152" s="1"/>
      <c r="B152" s="1"/>
      <c r="C152" s="15" t="s">
        <v>22</v>
      </c>
      <c r="D152" s="16">
        <v>3.7</v>
      </c>
      <c r="E152" s="1"/>
      <c r="F152" s="1"/>
      <c r="G152" s="1"/>
      <c r="H152" s="1"/>
      <c r="I152" s="1"/>
      <c r="J152" s="1"/>
    </row>
    <row r="153" spans="1:10">
      <c r="A153" s="1"/>
      <c r="B153" s="1"/>
      <c r="C153" s="15" t="s">
        <v>40</v>
      </c>
      <c r="D153" s="16">
        <v>7.5</v>
      </c>
      <c r="E153" s="1"/>
      <c r="F153" s="1"/>
      <c r="G153" s="1"/>
      <c r="H153" s="1"/>
      <c r="I153" s="1"/>
      <c r="J153" s="1"/>
    </row>
    <row r="154" spans="1:10">
      <c r="A154" s="1"/>
      <c r="B154" s="1"/>
      <c r="C154" s="15" t="s">
        <v>17</v>
      </c>
      <c r="D154" s="16">
        <v>4.5</v>
      </c>
      <c r="E154" s="1"/>
      <c r="F154" s="1"/>
      <c r="G154" s="1"/>
      <c r="H154" s="1"/>
      <c r="I154" s="1"/>
      <c r="J154" s="1"/>
    </row>
    <row r="155" spans="1:10">
      <c r="A155" s="1"/>
      <c r="B155" s="1"/>
      <c r="C155" s="15" t="s">
        <v>40</v>
      </c>
      <c r="D155" s="16">
        <v>5.9</v>
      </c>
      <c r="E155" s="1"/>
      <c r="F155" s="1"/>
      <c r="G155" s="1"/>
      <c r="H155" s="1"/>
      <c r="I155" s="1"/>
      <c r="J155" s="1"/>
    </row>
    <row r="156" spans="1:10">
      <c r="A156" s="1"/>
      <c r="B156" s="1"/>
      <c r="C156" s="15" t="s">
        <v>40</v>
      </c>
      <c r="D156" s="16">
        <v>4.5</v>
      </c>
      <c r="E156" s="1"/>
      <c r="F156" s="1"/>
      <c r="G156" s="1"/>
      <c r="H156" s="1"/>
      <c r="I156" s="1"/>
      <c r="J156" s="1"/>
    </row>
    <row r="157" spans="1:10">
      <c r="A157" s="1"/>
      <c r="B157" s="1"/>
      <c r="C157" s="15" t="s">
        <v>54</v>
      </c>
      <c r="D157" s="16">
        <v>0.6</v>
      </c>
      <c r="E157" s="1"/>
      <c r="F157" s="1"/>
      <c r="G157" s="1"/>
      <c r="H157" s="1"/>
      <c r="I157" s="1"/>
      <c r="J157" s="1"/>
    </row>
    <row r="158" spans="1:10">
      <c r="A158" s="1"/>
      <c r="B158" s="1"/>
      <c r="C158" s="15" t="s">
        <v>52</v>
      </c>
      <c r="D158" s="16">
        <v>2.7</v>
      </c>
      <c r="E158" s="1"/>
      <c r="F158" s="1"/>
      <c r="G158" s="1"/>
      <c r="H158" s="1"/>
      <c r="I158" s="1"/>
      <c r="J158" s="1"/>
    </row>
    <row r="159" spans="1:10">
      <c r="A159" s="1"/>
      <c r="B159" s="1"/>
      <c r="C159" s="15" t="s">
        <v>40</v>
      </c>
      <c r="D159" s="16">
        <v>4.4000000000000004</v>
      </c>
      <c r="E159" s="1"/>
      <c r="F159" s="1"/>
      <c r="G159" s="1"/>
      <c r="H159" s="1"/>
      <c r="I159" s="1"/>
      <c r="J159" s="1"/>
    </row>
    <row r="160" spans="1:10">
      <c r="A160" s="1"/>
      <c r="B160" s="1"/>
      <c r="C160" s="15" t="s">
        <v>17</v>
      </c>
      <c r="D160" s="16">
        <v>2.2999999999999998</v>
      </c>
      <c r="E160" s="1"/>
      <c r="F160" s="1"/>
      <c r="G160" s="1"/>
      <c r="H160" s="1"/>
      <c r="I160" s="1"/>
      <c r="J160" s="1"/>
    </row>
    <row r="161" spans="1:10">
      <c r="A161" s="1"/>
      <c r="B161" s="1"/>
      <c r="C161" s="15" t="s">
        <v>40</v>
      </c>
      <c r="D161" s="16">
        <v>1</v>
      </c>
      <c r="E161" s="1"/>
      <c r="F161" s="1"/>
      <c r="G161" s="1"/>
      <c r="H161" s="1"/>
      <c r="I161" s="1"/>
      <c r="J161" s="1"/>
    </row>
    <row r="162" spans="1:10">
      <c r="A162" s="1"/>
      <c r="B162" s="1"/>
      <c r="C162" s="15" t="s">
        <v>22</v>
      </c>
      <c r="D162" s="16">
        <v>4.7</v>
      </c>
      <c r="E162" s="1"/>
      <c r="F162" s="1"/>
      <c r="G162" s="1"/>
      <c r="H162" s="1"/>
      <c r="I162" s="1"/>
      <c r="J162" s="1"/>
    </row>
    <row r="163" spans="1:10">
      <c r="A163" s="1"/>
      <c r="B163" s="1"/>
      <c r="C163" s="15" t="s">
        <v>53</v>
      </c>
      <c r="D163" s="16">
        <v>5.7</v>
      </c>
      <c r="E163" s="1"/>
      <c r="F163" s="1"/>
      <c r="G163" s="1"/>
      <c r="H163" s="1"/>
      <c r="I163" s="1"/>
      <c r="J163" s="1"/>
    </row>
    <row r="164" spans="1:10">
      <c r="A164" s="1"/>
      <c r="B164" s="1"/>
      <c r="C164" s="15" t="s">
        <v>22</v>
      </c>
      <c r="D164" s="16">
        <v>8.6999999999999993</v>
      </c>
      <c r="E164" s="1"/>
      <c r="F164" s="1"/>
      <c r="G164" s="1"/>
      <c r="H164" s="1"/>
      <c r="I164" s="1"/>
      <c r="J164" s="1"/>
    </row>
    <row r="165" spans="1:10">
      <c r="A165" s="1"/>
      <c r="B165" s="1"/>
      <c r="C165" s="15" t="s">
        <v>17</v>
      </c>
      <c r="D165" s="16">
        <v>2.4</v>
      </c>
      <c r="E165" s="1"/>
      <c r="F165" s="1"/>
      <c r="G165" s="1"/>
      <c r="H165" s="1"/>
      <c r="I165" s="1"/>
      <c r="J165" s="1"/>
    </row>
    <row r="166" spans="1:10">
      <c r="A166" s="1"/>
      <c r="B166" s="1"/>
      <c r="C166" s="15" t="s">
        <v>40</v>
      </c>
      <c r="D166" s="16">
        <v>9.9</v>
      </c>
      <c r="E166" s="1"/>
      <c r="F166" s="1"/>
      <c r="G166" s="1"/>
      <c r="H166" s="1"/>
      <c r="I166" s="1"/>
      <c r="J166" s="1"/>
    </row>
    <row r="167" spans="1:10">
      <c r="A167" s="1"/>
      <c r="B167" s="1"/>
      <c r="C167" s="15" t="s">
        <v>48</v>
      </c>
      <c r="D167" s="16">
        <v>12.4</v>
      </c>
      <c r="E167" s="1"/>
      <c r="F167" s="1"/>
      <c r="G167" s="1"/>
      <c r="H167" s="1"/>
      <c r="I167" s="1"/>
      <c r="J167" s="1"/>
    </row>
    <row r="168" spans="1:10">
      <c r="A168" s="1"/>
      <c r="B168" s="1"/>
      <c r="C168" s="15" t="s">
        <v>17</v>
      </c>
      <c r="D168" s="16">
        <v>16.3</v>
      </c>
      <c r="E168" s="1"/>
      <c r="F168" s="1"/>
      <c r="G168" s="1"/>
      <c r="H168" s="1"/>
      <c r="I168" s="1"/>
      <c r="J168" s="1"/>
    </row>
    <row r="169" spans="1:10">
      <c r="A169" s="1"/>
      <c r="B169" s="1"/>
      <c r="C169" s="15" t="s">
        <v>17</v>
      </c>
      <c r="D169" s="16">
        <v>6.8</v>
      </c>
      <c r="E169" s="1"/>
      <c r="F169" s="1"/>
      <c r="G169" s="1"/>
      <c r="H169" s="1"/>
      <c r="I169" s="1"/>
      <c r="J169" s="1"/>
    </row>
    <row r="170" spans="1:10">
      <c r="A170" s="1"/>
      <c r="B170" s="1"/>
      <c r="C170" s="15" t="s">
        <v>40</v>
      </c>
      <c r="D170" s="16">
        <v>3.8</v>
      </c>
      <c r="E170" s="1"/>
      <c r="F170" s="1"/>
      <c r="G170" s="1"/>
      <c r="H170" s="1"/>
      <c r="I170" s="1"/>
      <c r="J170" s="1"/>
    </row>
    <row r="171" spans="1:10">
      <c r="A171" s="1"/>
      <c r="B171" s="1"/>
      <c r="C171" s="15" t="s">
        <v>40</v>
      </c>
      <c r="D171" s="16">
        <v>3.4</v>
      </c>
      <c r="E171" s="1"/>
      <c r="F171" s="1"/>
      <c r="G171" s="1"/>
      <c r="H171" s="1"/>
      <c r="I171" s="1"/>
      <c r="J171" s="1"/>
    </row>
    <row r="172" spans="1:10">
      <c r="A172" s="1"/>
      <c r="B172" s="1"/>
      <c r="C172" s="15" t="s">
        <v>22</v>
      </c>
      <c r="D172" s="16">
        <v>3.5</v>
      </c>
      <c r="E172" s="1"/>
      <c r="F172" s="1"/>
      <c r="G172" s="1"/>
      <c r="H172" s="1"/>
      <c r="I172" s="1"/>
      <c r="J172" s="1"/>
    </row>
    <row r="173" spans="1:10">
      <c r="A173" s="1"/>
      <c r="B173" s="1"/>
      <c r="C173" s="15" t="s">
        <v>40</v>
      </c>
      <c r="D173" s="16">
        <v>14.6</v>
      </c>
      <c r="E173" s="1"/>
      <c r="F173" s="1"/>
      <c r="G173" s="1"/>
      <c r="H173" s="1"/>
      <c r="I173" s="1"/>
      <c r="J173" s="1"/>
    </row>
    <row r="174" spans="1:10">
      <c r="A174" s="1"/>
      <c r="B174" s="1"/>
      <c r="C174" s="15" t="s">
        <v>40</v>
      </c>
      <c r="D174" s="16">
        <v>6.3</v>
      </c>
      <c r="E174" s="1"/>
      <c r="F174" s="1"/>
      <c r="G174" s="1"/>
      <c r="H174" s="1"/>
      <c r="I174" s="1"/>
      <c r="J174" s="1"/>
    </row>
    <row r="175" spans="1:10">
      <c r="A175" s="1"/>
      <c r="B175" s="1"/>
      <c r="C175" s="15" t="s">
        <v>17</v>
      </c>
      <c r="D175" s="16">
        <v>1.6</v>
      </c>
      <c r="E175" s="1"/>
      <c r="F175" s="1"/>
      <c r="G175" s="1"/>
      <c r="H175" s="1"/>
      <c r="I175" s="1"/>
      <c r="J175" s="1"/>
    </row>
    <row r="176" spans="1:10">
      <c r="A176" s="1"/>
      <c r="B176" s="1"/>
      <c r="C176" s="15" t="s">
        <v>22</v>
      </c>
      <c r="D176" s="16">
        <v>2.8</v>
      </c>
      <c r="E176" s="1"/>
      <c r="F176" s="1"/>
      <c r="G176" s="1"/>
      <c r="H176" s="1"/>
      <c r="I176" s="1"/>
      <c r="J176" s="1"/>
    </row>
    <row r="177" spans="1:10">
      <c r="A177" s="1"/>
      <c r="B177" s="1"/>
      <c r="C177" s="17" t="s">
        <v>17</v>
      </c>
      <c r="D177" s="16">
        <v>2.1</v>
      </c>
      <c r="E177" s="1"/>
      <c r="F177" s="1"/>
      <c r="G177" s="1"/>
      <c r="H177" s="1"/>
      <c r="I177" s="1"/>
      <c r="J177" s="1"/>
    </row>
    <row r="178" spans="1:10">
      <c r="A178" s="1"/>
      <c r="B178" s="1"/>
      <c r="C178" s="17" t="s">
        <v>22</v>
      </c>
      <c r="D178" s="16">
        <v>1.4</v>
      </c>
      <c r="E178" s="1"/>
      <c r="F178" s="1"/>
      <c r="G178" s="1"/>
      <c r="H178" s="1"/>
      <c r="I178" s="1"/>
      <c r="J178" s="1"/>
    </row>
    <row r="179" spans="1:10">
      <c r="A179" s="1"/>
      <c r="B179" s="1"/>
      <c r="C179" s="17" t="s">
        <v>22</v>
      </c>
      <c r="D179" s="16">
        <v>1</v>
      </c>
      <c r="E179" s="1"/>
      <c r="F179" s="1"/>
      <c r="G179" s="1"/>
      <c r="H179" s="1"/>
      <c r="I179" s="1"/>
      <c r="J179" s="1"/>
    </row>
    <row r="180" spans="1:10">
      <c r="A180" s="1"/>
      <c r="B180" s="1"/>
      <c r="C180" s="17" t="s">
        <v>17</v>
      </c>
      <c r="D180" s="16">
        <v>3.2</v>
      </c>
      <c r="E180" s="1"/>
      <c r="F180" s="1"/>
      <c r="G180" s="1"/>
      <c r="H180" s="1"/>
      <c r="I180" s="1"/>
      <c r="J180" s="1"/>
    </row>
    <row r="181" spans="1:10">
      <c r="A181" s="1"/>
      <c r="B181" s="1"/>
      <c r="C181" s="17" t="s">
        <v>17</v>
      </c>
      <c r="D181" s="16">
        <v>5.7</v>
      </c>
      <c r="E181" s="1"/>
      <c r="F181" s="1"/>
      <c r="G181" s="1"/>
      <c r="H181" s="1"/>
      <c r="I181" s="1"/>
      <c r="J181" s="1"/>
    </row>
    <row r="182" spans="1:10" ht="16.5">
      <c r="C182" s="18"/>
      <c r="D182" s="19"/>
    </row>
    <row r="183" spans="1:10" ht="16.5">
      <c r="C183" s="18"/>
      <c r="D183" s="19"/>
    </row>
    <row r="184" spans="1:10" ht="16.5">
      <c r="C184" s="18"/>
      <c r="D184" s="19"/>
    </row>
    <row r="185" spans="1:10" ht="16.5">
      <c r="C185" s="18"/>
      <c r="D185" s="19"/>
    </row>
    <row r="186" spans="1:10" ht="16.5">
      <c r="C186" s="18"/>
      <c r="D186" s="20"/>
    </row>
    <row r="187" spans="1:10" ht="16.5">
      <c r="C187" s="21"/>
      <c r="D187" s="19"/>
    </row>
    <row r="188" spans="1:10" ht="16.5">
      <c r="C188" s="18"/>
      <c r="D188" s="20"/>
    </row>
    <row r="189" spans="1:10" ht="16.5">
      <c r="C189" s="22"/>
      <c r="D189" s="20"/>
    </row>
    <row r="190" spans="1:10" ht="16.5">
      <c r="C190" s="18"/>
      <c r="D190" s="19"/>
    </row>
    <row r="191" spans="1:10" ht="16.5">
      <c r="C191" s="18"/>
      <c r="D191" s="19"/>
    </row>
    <row r="192" spans="1:10" ht="16.5">
      <c r="C192" s="21"/>
      <c r="D192" s="19"/>
    </row>
    <row r="193" spans="3:4" ht="16.5">
      <c r="C193" s="21"/>
      <c r="D193" s="19"/>
    </row>
    <row r="194" spans="3:4" ht="16.5">
      <c r="C194" s="18"/>
      <c r="D194" s="19"/>
    </row>
    <row r="195" spans="3:4" ht="16.5">
      <c r="C195" s="18"/>
      <c r="D195" s="19"/>
    </row>
    <row r="196" spans="3:4" ht="16.5">
      <c r="C196" s="18"/>
      <c r="D196" s="20"/>
    </row>
    <row r="197" spans="3:4" ht="16.5">
      <c r="C197" s="18"/>
      <c r="D197" s="20"/>
    </row>
    <row r="198" spans="3:4" ht="16.5">
      <c r="C198" s="22"/>
      <c r="D198" s="19"/>
    </row>
    <row r="199" spans="3:4" ht="16.5">
      <c r="C199" s="22"/>
      <c r="D199" s="20"/>
    </row>
    <row r="200" spans="3:4" ht="16.5">
      <c r="C200" s="22"/>
      <c r="D200" s="19"/>
    </row>
    <row r="201" spans="3:4" ht="16.5">
      <c r="C201" s="22"/>
      <c r="D201" s="19"/>
    </row>
    <row r="202" spans="3:4" ht="16.5">
      <c r="C202" s="22"/>
      <c r="D202" s="19"/>
    </row>
    <row r="203" spans="3:4" ht="16.5">
      <c r="C203" s="18"/>
      <c r="D203" s="19"/>
    </row>
    <row r="204" spans="3:4" ht="16.5">
      <c r="C204" s="23"/>
      <c r="D204" s="19"/>
    </row>
    <row r="205" spans="3:4" ht="16.5">
      <c r="C205" s="18"/>
      <c r="D205" s="19"/>
    </row>
    <row r="206" spans="3:4" ht="16.5">
      <c r="C206" s="21"/>
      <c r="D206" s="24"/>
    </row>
    <row r="207" spans="3:4" ht="16.5">
      <c r="C207" s="18"/>
      <c r="D207" s="19"/>
    </row>
    <row r="208" spans="3:4" ht="16.5">
      <c r="C208" s="18"/>
      <c r="D208" s="20"/>
    </row>
    <row r="209" spans="3:4" ht="16.5">
      <c r="C209" s="18"/>
      <c r="D209" s="20"/>
    </row>
    <row r="210" spans="3:4" ht="16.5">
      <c r="C210" s="18"/>
      <c r="D210" s="20"/>
    </row>
    <row r="211" spans="3:4" ht="16.5">
      <c r="C211" s="21"/>
      <c r="D211" s="20"/>
    </row>
    <row r="212" spans="3:4" ht="16.5">
      <c r="C212" s="18"/>
      <c r="D212" s="20"/>
    </row>
    <row r="213" spans="3:4" ht="16.5">
      <c r="C213" s="18"/>
      <c r="D213" s="19"/>
    </row>
    <row r="214" spans="3:4" ht="16.5">
      <c r="C214" s="18"/>
      <c r="D214" s="19"/>
    </row>
    <row r="215" spans="3:4" ht="16.5">
      <c r="C215" s="21"/>
      <c r="D215" s="19"/>
    </row>
    <row r="216" spans="3:4" ht="16.5">
      <c r="C216" s="21"/>
      <c r="D216" s="20"/>
    </row>
    <row r="217" spans="3:4" ht="16.5">
      <c r="C217" s="18"/>
      <c r="D217" s="19"/>
    </row>
    <row r="218" spans="3:4" ht="16.5">
      <c r="C218" s="18"/>
      <c r="D218" s="20"/>
    </row>
    <row r="219" spans="3:4" ht="16.5">
      <c r="C219" s="18"/>
      <c r="D219" s="19"/>
    </row>
    <row r="220" spans="3:4" ht="16.5">
      <c r="C220" s="18"/>
      <c r="D220" s="19"/>
    </row>
    <row r="221" spans="3:4" ht="16.5">
      <c r="C221" s="21"/>
      <c r="D221" s="19"/>
    </row>
    <row r="222" spans="3:4" ht="16.5">
      <c r="C222" s="18"/>
      <c r="D222" s="20"/>
    </row>
    <row r="223" spans="3:4" ht="16.5">
      <c r="C223" s="21"/>
      <c r="D223" s="20"/>
    </row>
    <row r="224" spans="3:4" ht="16.5">
      <c r="C224" s="22"/>
      <c r="D224" s="19"/>
    </row>
    <row r="225" spans="3:4" ht="16.5">
      <c r="C225" s="18"/>
      <c r="D225" s="20"/>
    </row>
    <row r="226" spans="3:4" ht="16.5">
      <c r="C226" s="18"/>
      <c r="D226" s="19"/>
    </row>
    <row r="227" spans="3:4" ht="16.5">
      <c r="C227" s="18"/>
      <c r="D227" s="19"/>
    </row>
    <row r="228" spans="3:4" ht="16.5">
      <c r="C228" s="21"/>
      <c r="D228" s="20"/>
    </row>
    <row r="229" spans="3:4" ht="16.5">
      <c r="C229" s="18"/>
      <c r="D229" s="20"/>
    </row>
    <row r="230" spans="3:4" ht="16.5">
      <c r="C230" s="18"/>
      <c r="D230" s="19"/>
    </row>
    <row r="231" spans="3:4" ht="16.5">
      <c r="C231" s="18"/>
      <c r="D231" s="19"/>
    </row>
    <row r="232" spans="3:4" ht="16.5">
      <c r="C232" s="18"/>
      <c r="D232" s="20"/>
    </row>
    <row r="233" spans="3:4" ht="16.5">
      <c r="C233" s="18"/>
      <c r="D233" s="20"/>
    </row>
    <row r="234" spans="3:4" ht="16.5">
      <c r="C234" s="18"/>
      <c r="D234" s="20"/>
    </row>
    <row r="235" spans="3:4" ht="16.5">
      <c r="C235" s="18"/>
      <c r="D235" s="20"/>
    </row>
    <row r="236" spans="3:4" ht="16.5">
      <c r="C236" s="18"/>
      <c r="D236" s="19"/>
    </row>
    <row r="237" spans="3:4" ht="16.5">
      <c r="C237" s="18"/>
      <c r="D237" s="20"/>
    </row>
    <row r="238" spans="3:4" ht="16.5">
      <c r="C238" s="18"/>
      <c r="D238" s="20"/>
    </row>
    <row r="239" spans="3:4" ht="16.5">
      <c r="C239" s="18"/>
      <c r="D239" s="20"/>
    </row>
    <row r="240" spans="3:4" ht="16.5">
      <c r="C240" s="18"/>
      <c r="D240" s="20"/>
    </row>
    <row r="241" spans="3:4" ht="16.5">
      <c r="C241" s="18"/>
      <c r="D241" s="20"/>
    </row>
    <row r="242" spans="3:4" ht="16.5">
      <c r="C242" s="18"/>
      <c r="D242" s="20"/>
    </row>
    <row r="243" spans="3:4" ht="16.5">
      <c r="C243" s="18"/>
      <c r="D243" s="20"/>
    </row>
    <row r="244" spans="3:4" ht="16.5">
      <c r="C244" s="21"/>
      <c r="D244" s="20"/>
    </row>
    <row r="245" spans="3:4" ht="16.5">
      <c r="C245" s="21"/>
      <c r="D245" s="20"/>
    </row>
    <row r="246" spans="3:4" ht="16.5">
      <c r="C246" s="18"/>
      <c r="D246" s="19"/>
    </row>
    <row r="247" spans="3:4" ht="16.5">
      <c r="C247" s="21"/>
      <c r="D247" s="19"/>
    </row>
    <row r="248" spans="3:4" ht="16.5">
      <c r="C248" s="18"/>
      <c r="D248" s="19"/>
    </row>
    <row r="249" spans="3:4" ht="16.5">
      <c r="C249" s="21"/>
      <c r="D249" s="19"/>
    </row>
    <row r="250" spans="3:4" ht="16.5">
      <c r="C250" s="18"/>
      <c r="D250" s="19"/>
    </row>
    <row r="251" spans="3:4" ht="16.5">
      <c r="C251" s="18"/>
      <c r="D251" s="19"/>
    </row>
    <row r="252" spans="3:4" ht="16.5">
      <c r="C252" s="21"/>
      <c r="D252" s="19"/>
    </row>
    <row r="253" spans="3:4" ht="16.5">
      <c r="C253" s="21"/>
      <c r="D253" s="19"/>
    </row>
    <row r="254" spans="3:4" ht="16.5">
      <c r="C254" s="21"/>
      <c r="D254" s="19"/>
    </row>
    <row r="255" spans="3:4" ht="16.5">
      <c r="C255" s="21"/>
      <c r="D255" s="19"/>
    </row>
    <row r="256" spans="3:4" ht="16.5">
      <c r="C256" s="18"/>
      <c r="D256" s="19"/>
    </row>
    <row r="257" spans="3:4" ht="16.5">
      <c r="C257" s="18"/>
      <c r="D257" s="19"/>
    </row>
    <row r="258" spans="3:4" ht="16.5">
      <c r="C258" s="18"/>
      <c r="D258" s="19"/>
    </row>
    <row r="259" spans="3:4" ht="16.5">
      <c r="C259" s="18"/>
      <c r="D259" s="19"/>
    </row>
    <row r="260" spans="3:4" ht="16.5">
      <c r="C260" s="25"/>
      <c r="D260" s="19"/>
    </row>
    <row r="261" spans="3:4" ht="16.5">
      <c r="C261" s="18"/>
      <c r="D261" s="19"/>
    </row>
    <row r="262" spans="3:4" ht="16.5">
      <c r="C262" s="21"/>
      <c r="D262" s="19"/>
    </row>
    <row r="263" spans="3:4" ht="16.5">
      <c r="C263" s="21"/>
      <c r="D263" s="19"/>
    </row>
    <row r="264" spans="3:4" ht="16.5">
      <c r="C264" s="26"/>
      <c r="D264" s="19"/>
    </row>
    <row r="265" spans="3:4" ht="16.5">
      <c r="C265" s="18"/>
      <c r="D265" s="19"/>
    </row>
    <row r="266" spans="3:4" ht="16.5">
      <c r="C266" s="21"/>
      <c r="D266" s="19"/>
    </row>
    <row r="267" spans="3:4" ht="16.5">
      <c r="C267" s="18"/>
      <c r="D267" s="20"/>
    </row>
    <row r="268" spans="3:4" ht="16.5">
      <c r="C268" s="22"/>
      <c r="D268" s="20"/>
    </row>
    <row r="269" spans="3:4" ht="16.5">
      <c r="C269" s="18"/>
      <c r="D269" s="20"/>
    </row>
    <row r="270" spans="3:4" ht="16.5">
      <c r="C270" s="22"/>
      <c r="D270" s="20"/>
    </row>
    <row r="271" spans="3:4" ht="16.5">
      <c r="C271" s="21"/>
      <c r="D271" s="20"/>
    </row>
    <row r="272" spans="3:4" ht="16.5">
      <c r="C272" s="18"/>
      <c r="D272" s="20"/>
    </row>
    <row r="273" spans="3:4" ht="16.5">
      <c r="C273" s="21"/>
      <c r="D273" s="19"/>
    </row>
    <row r="274" spans="3:4" ht="16.5">
      <c r="C274" s="18"/>
      <c r="D274" s="19"/>
    </row>
    <row r="275" spans="3:4" ht="16.5">
      <c r="C275" s="18"/>
      <c r="D275" s="20"/>
    </row>
    <row r="276" spans="3:4" ht="16.5">
      <c r="C276" s="18"/>
      <c r="D276" s="20"/>
    </row>
    <row r="277" spans="3:4" ht="16.5">
      <c r="C277" s="21"/>
      <c r="D277" s="20"/>
    </row>
    <row r="278" spans="3:4" ht="16.5">
      <c r="C278" s="21"/>
      <c r="D278" s="19"/>
    </row>
    <row r="279" spans="3:4" ht="16.5">
      <c r="C279" s="21"/>
      <c r="D279" s="20"/>
    </row>
    <row r="280" spans="3:4" ht="16.5">
      <c r="C280" s="21"/>
      <c r="D280" s="20"/>
    </row>
    <row r="281" spans="3:4" ht="16.5">
      <c r="C281" s="18"/>
      <c r="D281" s="20"/>
    </row>
    <row r="282" spans="3:4" ht="16.5">
      <c r="C282" s="18"/>
      <c r="D282" s="19"/>
    </row>
    <row r="283" spans="3:4" ht="16.5">
      <c r="C283" s="21"/>
      <c r="D283" s="19"/>
    </row>
    <row r="284" spans="3:4" ht="16.5">
      <c r="C284" s="22"/>
      <c r="D284" s="20"/>
    </row>
    <row r="285" spans="3:4" ht="16.5">
      <c r="C285" s="18"/>
      <c r="D285" s="19"/>
    </row>
    <row r="286" spans="3:4" ht="16.5">
      <c r="C286" s="21"/>
      <c r="D286" s="19"/>
    </row>
    <row r="287" spans="3:4" ht="16.5">
      <c r="C287" s="18"/>
      <c r="D287" s="19"/>
    </row>
    <row r="288" spans="3:4" ht="16.5">
      <c r="C288" s="18"/>
      <c r="D288" s="20"/>
    </row>
    <row r="289" spans="3:4" ht="16.5">
      <c r="C289" s="18"/>
      <c r="D289" s="19"/>
    </row>
    <row r="290" spans="3:4" ht="16.5">
      <c r="C290" s="18"/>
      <c r="D290" s="20"/>
    </row>
    <row r="291" spans="3:4" ht="16.5">
      <c r="C291" s="22"/>
      <c r="D291" s="20"/>
    </row>
    <row r="292" spans="3:4" ht="16.5">
      <c r="C292" s="18"/>
      <c r="D292" s="19"/>
    </row>
    <row r="293" spans="3:4" ht="16.5">
      <c r="C293" s="21"/>
      <c r="D293" s="20"/>
    </row>
    <row r="294" spans="3:4" ht="16.5">
      <c r="C294" s="18"/>
      <c r="D294" s="19"/>
    </row>
    <row r="295" spans="3:4" ht="16.5">
      <c r="C295" s="21"/>
      <c r="D295" s="20"/>
    </row>
    <row r="296" spans="3:4" ht="16.5">
      <c r="C296" s="26"/>
      <c r="D296" s="19"/>
    </row>
    <row r="297" spans="3:4" ht="16.5">
      <c r="C297" s="18"/>
      <c r="D297" s="20"/>
    </row>
    <row r="298" spans="3:4" ht="16.5">
      <c r="C298" s="18"/>
      <c r="D298" s="19"/>
    </row>
    <row r="299" spans="3:4" ht="16.5">
      <c r="C299" s="21"/>
      <c r="D299" s="20"/>
    </row>
    <row r="300" spans="3:4" ht="16.5">
      <c r="C300" s="18"/>
      <c r="D300" s="20"/>
    </row>
    <row r="301" spans="3:4" ht="16.5">
      <c r="C301" s="18"/>
      <c r="D301" s="19"/>
    </row>
    <row r="302" spans="3:4" ht="16.5">
      <c r="C302" s="21"/>
      <c r="D302" s="20"/>
    </row>
    <row r="303" spans="3:4" ht="16.5">
      <c r="C303" s="21"/>
      <c r="D303" s="19"/>
    </row>
    <row r="304" spans="3:4" ht="16.5">
      <c r="C304" s="21"/>
      <c r="D304" s="19"/>
    </row>
    <row r="305" spans="3:4" ht="16.5">
      <c r="C305" s="18"/>
      <c r="D305" s="19"/>
    </row>
    <row r="306" spans="3:4" ht="16.5">
      <c r="C306" s="18"/>
      <c r="D306" s="19"/>
    </row>
    <row r="307" spans="3:4" ht="16.5">
      <c r="C307" s="26"/>
      <c r="D307" s="19"/>
    </row>
    <row r="308" spans="3:4" ht="16.5">
      <c r="C308" s="21"/>
      <c r="D308" s="19"/>
    </row>
    <row r="309" spans="3:4" ht="16.5">
      <c r="C309" s="21"/>
      <c r="D309" s="19"/>
    </row>
    <row r="310" spans="3:4" ht="16.5">
      <c r="C310" s="22"/>
      <c r="D310" s="19"/>
    </row>
    <row r="311" spans="3:4" ht="16.5">
      <c r="C311" s="18"/>
      <c r="D311" s="27"/>
    </row>
    <row r="312" spans="3:4" ht="16.5">
      <c r="C312" s="21"/>
      <c r="D312" s="20"/>
    </row>
    <row r="313" spans="3:4" ht="16.5">
      <c r="C313" s="21"/>
      <c r="D313" s="19"/>
    </row>
    <row r="314" spans="3:4" ht="16.5">
      <c r="C314" s="21"/>
      <c r="D314" s="19"/>
    </row>
    <row r="315" spans="3:4" ht="16.5">
      <c r="C315" s="18"/>
      <c r="D315" s="19"/>
    </row>
    <row r="316" spans="3:4" ht="16.5">
      <c r="C316" s="21"/>
      <c r="D316" s="19"/>
    </row>
    <row r="317" spans="3:4" ht="16.5">
      <c r="C317" s="18"/>
      <c r="D317" s="19"/>
    </row>
    <row r="318" spans="3:4" ht="16.5">
      <c r="C318" s="21"/>
      <c r="D318" s="19"/>
    </row>
    <row r="319" spans="3:4" ht="16.5">
      <c r="C319" s="18"/>
      <c r="D319" s="19"/>
    </row>
    <row r="320" spans="3:4" ht="16.5">
      <c r="C320" s="21"/>
      <c r="D320" s="19"/>
    </row>
    <row r="321" spans="3:4" ht="16.5">
      <c r="C321" s="18"/>
      <c r="D321" s="19"/>
    </row>
    <row r="322" spans="3:4" ht="16.5">
      <c r="C322" s="21"/>
      <c r="D322" s="19"/>
    </row>
    <row r="323" spans="3:4" ht="16.5">
      <c r="C323" s="18"/>
      <c r="D323" s="19"/>
    </row>
    <row r="324" spans="3:4" ht="16.5">
      <c r="C324" s="18"/>
      <c r="D324" s="19"/>
    </row>
    <row r="325" spans="3:4" ht="16.5">
      <c r="C325" s="21"/>
      <c r="D325" s="19"/>
    </row>
    <row r="326" spans="3:4" ht="16.5">
      <c r="C326" s="18"/>
      <c r="D326" s="19"/>
    </row>
    <row r="327" spans="3:4" ht="16.5">
      <c r="C327" s="22"/>
      <c r="D327" s="19"/>
    </row>
    <row r="328" spans="3:4" ht="16.5">
      <c r="C328" s="21"/>
      <c r="D328" s="19"/>
    </row>
    <row r="329" spans="3:4" ht="16.5">
      <c r="C329" s="22"/>
      <c r="D329" s="19"/>
    </row>
    <row r="330" spans="3:4" ht="16.5">
      <c r="C330" s="18"/>
      <c r="D330" s="19"/>
    </row>
    <row r="331" spans="3:4" ht="16.5">
      <c r="C331" s="21"/>
      <c r="D331" s="19"/>
    </row>
    <row r="332" spans="3:4" ht="16.5">
      <c r="C332" s="18"/>
      <c r="D332" s="19"/>
    </row>
    <row r="333" spans="3:4" ht="16.5">
      <c r="C333" s="18"/>
      <c r="D333" s="19"/>
    </row>
    <row r="334" spans="3:4" ht="16.5">
      <c r="C334" s="18"/>
      <c r="D334" s="19"/>
    </row>
    <row r="335" spans="3:4" ht="16.5">
      <c r="C335" s="22"/>
      <c r="D335" s="19"/>
    </row>
    <row r="336" spans="3:4" ht="16.5">
      <c r="C336" s="21"/>
      <c r="D336" s="19"/>
    </row>
    <row r="337" spans="3:4" ht="16.5">
      <c r="C337" s="18"/>
      <c r="D337" s="19"/>
    </row>
    <row r="338" spans="3:4" ht="16.5">
      <c r="C338" s="26"/>
      <c r="D338" s="19"/>
    </row>
    <row r="339" spans="3:4" ht="16.5">
      <c r="C339" s="21"/>
      <c r="D339" s="19"/>
    </row>
    <row r="340" spans="3:4" ht="16.5">
      <c r="C340" s="18"/>
      <c r="D340" s="19"/>
    </row>
    <row r="341" spans="3:4" ht="16.5">
      <c r="C341" s="18"/>
      <c r="D341" s="19"/>
    </row>
    <row r="342" spans="3:4" ht="16.5">
      <c r="C342" s="21"/>
      <c r="D342" s="19"/>
    </row>
    <row r="343" spans="3:4" ht="16.5">
      <c r="C343" s="18"/>
      <c r="D343" s="19"/>
    </row>
    <row r="344" spans="3:4" ht="16.5">
      <c r="C344" s="26"/>
      <c r="D344" s="19"/>
    </row>
    <row r="345" spans="3:4" ht="16.5">
      <c r="C345" s="18"/>
      <c r="D345" s="19"/>
    </row>
    <row r="346" spans="3:4" ht="16.5">
      <c r="C346" s="21"/>
      <c r="D346" s="19"/>
    </row>
    <row r="347" spans="3:4" ht="16.5">
      <c r="C347" s="18"/>
      <c r="D347" s="19"/>
    </row>
    <row r="348" spans="3:4" ht="16.5">
      <c r="C348" s="18"/>
      <c r="D348" s="19"/>
    </row>
    <row r="349" spans="3:4" ht="16.5">
      <c r="C349" s="21"/>
      <c r="D349" s="19"/>
    </row>
    <row r="350" spans="3:4" ht="16.5">
      <c r="C350" s="18"/>
      <c r="D350" s="19"/>
    </row>
    <row r="351" spans="3:4" ht="16.5">
      <c r="C351" s="21"/>
      <c r="D351" s="19"/>
    </row>
    <row r="352" spans="3:4" ht="16.5">
      <c r="C352" s="21"/>
      <c r="D352" s="19"/>
    </row>
    <row r="353" spans="3:4" ht="16.5">
      <c r="C353" s="21"/>
      <c r="D353" s="19"/>
    </row>
    <row r="354" spans="3:4" ht="16.5">
      <c r="C354" s="18"/>
      <c r="D354" s="19"/>
    </row>
    <row r="355" spans="3:4" ht="16.5">
      <c r="C355" s="21"/>
      <c r="D355" s="19"/>
    </row>
    <row r="356" spans="3:4" ht="16.5">
      <c r="C356" s="21"/>
      <c r="D356" s="19"/>
    </row>
    <row r="357" spans="3:4" ht="16.5">
      <c r="C357" s="18"/>
      <c r="D357" s="19"/>
    </row>
    <row r="358" spans="3:4" ht="16.5">
      <c r="C358" s="21"/>
      <c r="D358" s="19"/>
    </row>
    <row r="359" spans="3:4" ht="16.5">
      <c r="C359" s="21"/>
      <c r="D359" s="19"/>
    </row>
    <row r="360" spans="3:4" ht="16.5">
      <c r="C360" s="18"/>
      <c r="D360" s="19"/>
    </row>
    <row r="361" spans="3:4" ht="16.5">
      <c r="C361" s="18"/>
      <c r="D361" s="19"/>
    </row>
    <row r="362" spans="3:4" ht="16.5">
      <c r="C362" s="18"/>
      <c r="D362" s="19"/>
    </row>
    <row r="363" spans="3:4" ht="16.5">
      <c r="C363" s="18"/>
      <c r="D363" s="19"/>
    </row>
    <row r="364" spans="3:4" ht="16.5">
      <c r="C364" s="26"/>
      <c r="D364" s="19"/>
    </row>
    <row r="365" spans="3:4" ht="16.5">
      <c r="C365" s="21"/>
      <c r="D365" s="19"/>
    </row>
    <row r="366" spans="3:4" ht="16.5">
      <c r="C366" s="21"/>
      <c r="D366" s="19"/>
    </row>
    <row r="367" spans="3:4" ht="16.5">
      <c r="C367" s="26"/>
      <c r="D367" s="19"/>
    </row>
    <row r="368" spans="3:4" ht="16.5">
      <c r="C368" s="18"/>
      <c r="D368" s="19"/>
    </row>
    <row r="369" spans="3:4" ht="16.5">
      <c r="C369" s="21"/>
      <c r="D369" s="19"/>
    </row>
    <row r="370" spans="3:4" ht="16.5">
      <c r="C370" s="26"/>
      <c r="D370" s="19"/>
    </row>
    <row r="371" spans="3:4" ht="16.5">
      <c r="C371" s="21"/>
      <c r="D371" s="19"/>
    </row>
    <row r="372" spans="3:4" ht="16.5">
      <c r="C372" s="21"/>
      <c r="D372" s="19"/>
    </row>
    <row r="373" spans="3:4" ht="16.5">
      <c r="C373" s="26"/>
      <c r="D373" s="19"/>
    </row>
    <row r="374" spans="3:4" ht="16.5">
      <c r="C374" s="21"/>
      <c r="D374" s="19"/>
    </row>
    <row r="375" spans="3:4" ht="16.5">
      <c r="C375" s="18"/>
      <c r="D375" s="19"/>
    </row>
    <row r="376" spans="3:4" ht="16.5">
      <c r="C376" s="18"/>
      <c r="D376" s="19"/>
    </row>
    <row r="377" spans="3:4" ht="16.5">
      <c r="C377" s="21"/>
      <c r="D377" s="19"/>
    </row>
    <row r="378" spans="3:4" ht="16.5">
      <c r="C378" s="22"/>
      <c r="D378" s="19"/>
    </row>
    <row r="379" spans="3:4" ht="16.5">
      <c r="C379" s="22"/>
      <c r="D379" s="19"/>
    </row>
    <row r="380" spans="3:4" ht="16.5">
      <c r="C380" s="21"/>
      <c r="D380" s="19"/>
    </row>
    <row r="381" spans="3:4" ht="16.5">
      <c r="C381" s="18"/>
      <c r="D381" s="19"/>
    </row>
    <row r="382" spans="3:4" ht="16.5">
      <c r="C382" s="22"/>
      <c r="D382" s="19"/>
    </row>
    <row r="383" spans="3:4" ht="16.5">
      <c r="C383" s="18"/>
      <c r="D383" s="19"/>
    </row>
    <row r="384" spans="3:4" ht="16.5">
      <c r="C384" s="18"/>
      <c r="D384" s="19"/>
    </row>
    <row r="385" spans="3:4" ht="16.5">
      <c r="C385" s="18"/>
      <c r="D385" s="19"/>
    </row>
    <row r="386" spans="3:4" ht="16.5">
      <c r="C386" s="18"/>
      <c r="D386" s="19"/>
    </row>
    <row r="387" spans="3:4" ht="16.5">
      <c r="C387" s="18"/>
      <c r="D387" s="19"/>
    </row>
    <row r="388" spans="3:4" ht="16.5">
      <c r="C388" s="18"/>
      <c r="D388" s="19"/>
    </row>
    <row r="389" spans="3:4" ht="16.5">
      <c r="C389" s="18"/>
      <c r="D389" s="19"/>
    </row>
    <row r="390" spans="3:4" ht="16.5">
      <c r="C390" s="18"/>
      <c r="D390" s="19"/>
    </row>
    <row r="391" spans="3:4" ht="16.5">
      <c r="C391" s="21"/>
      <c r="D391" s="19"/>
    </row>
    <row r="392" spans="3:4" ht="16.5">
      <c r="C392" s="18"/>
      <c r="D392" s="19"/>
    </row>
    <row r="393" spans="3:4" ht="16.5">
      <c r="C393" s="18"/>
      <c r="D393" s="19"/>
    </row>
    <row r="394" spans="3:4" ht="16.5">
      <c r="C394" s="22"/>
      <c r="D394" s="28"/>
    </row>
    <row r="395" spans="3:4" ht="16.5">
      <c r="C395" s="21"/>
      <c r="D395" s="28"/>
    </row>
    <row r="396" spans="3:4" ht="16.5">
      <c r="C396" s="21"/>
      <c r="D396" s="28"/>
    </row>
    <row r="397" spans="3:4" ht="16.5">
      <c r="C397" s="22"/>
      <c r="D397" s="28"/>
    </row>
    <row r="398" spans="3:4" ht="16.5">
      <c r="C398" s="22"/>
      <c r="D398" s="28"/>
    </row>
    <row r="399" spans="3:4" ht="16.5">
      <c r="C399" s="18"/>
      <c r="D399" s="29"/>
    </row>
    <row r="400" spans="3:4" ht="16.5">
      <c r="C400" s="18"/>
      <c r="D400" s="29"/>
    </row>
    <row r="401" spans="3:4" ht="16.5">
      <c r="C401" s="18"/>
      <c r="D401" s="28"/>
    </row>
    <row r="402" spans="3:4" ht="16.5">
      <c r="C402" s="18"/>
      <c r="D402" s="28"/>
    </row>
    <row r="403" spans="3:4" ht="16.5">
      <c r="C403" s="18"/>
      <c r="D403" s="28"/>
    </row>
    <row r="404" spans="3:4" ht="16.5">
      <c r="C404" s="18"/>
      <c r="D404" s="28"/>
    </row>
    <row r="405" spans="3:4" ht="16.5">
      <c r="C405" s="18"/>
      <c r="D405" s="28"/>
    </row>
    <row r="406" spans="3:4" ht="16.5">
      <c r="C406" s="18"/>
      <c r="D406" s="28"/>
    </row>
    <row r="407" spans="3:4" ht="16.5">
      <c r="C407" s="21"/>
      <c r="D407" s="28"/>
    </row>
    <row r="408" spans="3:4" ht="16.5">
      <c r="C408" s="21"/>
      <c r="D408" s="28"/>
    </row>
    <row r="409" spans="3:4" ht="16.5">
      <c r="C409" s="18"/>
      <c r="D409" s="28"/>
    </row>
    <row r="410" spans="3:4" ht="16.5">
      <c r="C410" s="21"/>
      <c r="D410" s="28"/>
    </row>
    <row r="411" spans="3:4" ht="16.5">
      <c r="C411" s="18"/>
      <c r="D411" s="29"/>
    </row>
    <row r="412" spans="3:4" ht="16.5">
      <c r="C412" s="18"/>
      <c r="D412" s="29"/>
    </row>
    <row r="413" spans="3:4" ht="16.5">
      <c r="C413" s="18"/>
      <c r="D413" s="28"/>
    </row>
    <row r="414" spans="3:4" ht="16.5">
      <c r="C414" s="18"/>
      <c r="D414" s="30"/>
    </row>
  </sheetData>
  <sheetProtection password="D62B" sheet="1" objects="1" scenarios="1" selectLockedCell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trees_per_ha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</dc:creator>
  <cp:lastModifiedBy>Ed</cp:lastModifiedBy>
  <dcterms:created xsi:type="dcterms:W3CDTF">2020-11-05T04:49:23Z</dcterms:created>
  <dcterms:modified xsi:type="dcterms:W3CDTF">2020-11-05T04:51:47Z</dcterms:modified>
</cp:coreProperties>
</file>